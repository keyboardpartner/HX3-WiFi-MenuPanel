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PlatformIO\Projects\fpga_loader_esp32\docs\"/>
    </mc:Choice>
  </mc:AlternateContent>
  <bookViews>
    <workbookView xWindow="720" yWindow="645" windowWidth="26835" windowHeight="14070"/>
  </bookViews>
  <sheets>
    <sheet name="Berechnung" sheetId="1" r:id="rId1"/>
    <sheet name="Biquad-DCO" sheetId="2" r:id="rId2"/>
    <sheet name="Allpass-Sim" sheetId="4" r:id="rId3"/>
    <sheet name="Lowpass-Sim" sheetId="5" r:id="rId4"/>
  </sheets>
  <definedNames>
    <definedName name="ExterneDaten_1" localSheetId="2" hidden="1">'Allpass-Sim'!#REF!</definedName>
    <definedName name="isim_results" localSheetId="1">'Biquad-DCO'!#REF!</definedName>
    <definedName name="isim_results_1" localSheetId="1">'Biquad-DCO'!$L$1:$L$501</definedName>
  </definedNames>
  <calcPr calcId="162913"/>
</workbook>
</file>

<file path=xl/calcChain.xml><?xml version="1.0" encoding="utf-8"?>
<calcChain xmlns="http://schemas.openxmlformats.org/spreadsheetml/2006/main">
  <c r="B12" i="1" l="1"/>
  <c r="G5" i="5" l="1"/>
  <c r="E5" i="5"/>
  <c r="F5" i="5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D50" i="4" s="1"/>
  <c r="B50" i="4"/>
  <c r="D51" i="4" s="1"/>
  <c r="B51" i="4"/>
  <c r="D52" i="4" s="1"/>
  <c r="B52" i="4"/>
  <c r="B5" i="4"/>
  <c r="F5" i="4" l="1"/>
  <c r="G5" i="4" s="1"/>
  <c r="C6" i="4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6" i="5" l="1"/>
  <c r="E6" i="4"/>
  <c r="F6" i="4" s="1"/>
  <c r="G6" i="4" s="1"/>
  <c r="B15" i="2"/>
  <c r="D15" i="2" s="1"/>
  <c r="B11" i="2"/>
  <c r="D11" i="2" s="1"/>
  <c r="B20" i="2"/>
  <c r="C20" i="2"/>
  <c r="D20" i="2"/>
  <c r="E20" i="2"/>
  <c r="F20" i="2"/>
  <c r="G20" i="2"/>
  <c r="H20" i="2"/>
  <c r="I20" i="2"/>
  <c r="A20" i="2"/>
  <c r="A6" i="2"/>
  <c r="A8" i="2" s="1"/>
  <c r="B25" i="1"/>
  <c r="C42" i="1"/>
  <c r="B42" i="1"/>
  <c r="D14" i="1"/>
  <c r="B37" i="1"/>
  <c r="C37" i="1" s="1"/>
  <c r="D37" i="1" s="1"/>
  <c r="E37" i="1" s="1"/>
  <c r="B38" i="1"/>
  <c r="C38" i="1" s="1"/>
  <c r="D38" i="1" s="1"/>
  <c r="E38" i="1" s="1"/>
  <c r="B36" i="1"/>
  <c r="C36" i="1" s="1"/>
  <c r="D36" i="1" s="1"/>
  <c r="E36" i="1" s="1"/>
  <c r="E6" i="5" l="1"/>
  <c r="D7" i="5" s="1"/>
  <c r="G6" i="5"/>
  <c r="F6" i="5"/>
  <c r="E7" i="4"/>
  <c r="F7" i="4" s="1"/>
  <c r="G7" i="4" s="1"/>
  <c r="A7" i="2"/>
  <c r="G6" i="2"/>
  <c r="F15" i="2"/>
  <c r="C25" i="1"/>
  <c r="D25" i="1" s="1"/>
  <c r="B17" i="1"/>
  <c r="C17" i="1" s="1"/>
  <c r="D17" i="1" s="1"/>
  <c r="B35" i="1"/>
  <c r="C35" i="1" s="1"/>
  <c r="D35" i="1" s="1"/>
  <c r="B34" i="1"/>
  <c r="C34" i="1" s="1"/>
  <c r="D34" i="1" s="1"/>
  <c r="B33" i="1"/>
  <c r="C33" i="1" s="1"/>
  <c r="D33" i="1" s="1"/>
  <c r="B32" i="1"/>
  <c r="C32" i="1" s="1"/>
  <c r="D32" i="1" s="1"/>
  <c r="B31" i="1"/>
  <c r="C31" i="1" s="1"/>
  <c r="D31" i="1" s="1"/>
  <c r="B30" i="1"/>
  <c r="C30" i="1" s="1"/>
  <c r="D30" i="1" s="1"/>
  <c r="B29" i="1"/>
  <c r="C29" i="1" s="1"/>
  <c r="D29" i="1" s="1"/>
  <c r="A8" i="1"/>
  <c r="C12" i="1" s="1"/>
  <c r="D12" i="1" l="1"/>
  <c r="D13" i="1" s="1"/>
  <c r="C13" i="1"/>
  <c r="E7" i="5"/>
  <c r="D8" i="5" s="1"/>
  <c r="G8" i="5" s="1"/>
  <c r="G7" i="5"/>
  <c r="F7" i="5"/>
  <c r="E8" i="4"/>
  <c r="F8" i="4" s="1"/>
  <c r="G8" i="4" s="1"/>
  <c r="E29" i="1"/>
  <c r="E35" i="1"/>
  <c r="D26" i="1"/>
  <c r="E33" i="1"/>
  <c r="E34" i="1"/>
  <c r="E32" i="1"/>
  <c r="E31" i="1"/>
  <c r="E30" i="1"/>
  <c r="D18" i="1"/>
  <c r="F8" i="5" l="1"/>
  <c r="E8" i="5"/>
  <c r="D9" i="5" s="1"/>
  <c r="E9" i="4"/>
  <c r="F9" i="4" s="1"/>
  <c r="G9" i="4" s="1"/>
  <c r="E9" i="5" l="1"/>
  <c r="D10" i="5" s="1"/>
  <c r="G9" i="5"/>
  <c r="F9" i="5"/>
  <c r="E10" i="4"/>
  <c r="F10" i="4" s="1"/>
  <c r="G10" i="4" s="1"/>
  <c r="E10" i="5" l="1"/>
  <c r="D11" i="5" s="1"/>
  <c r="G10" i="5"/>
  <c r="F10" i="5"/>
  <c r="E11" i="4"/>
  <c r="F11" i="4" s="1"/>
  <c r="G11" i="4" s="1"/>
  <c r="E11" i="5" l="1"/>
  <c r="D12" i="5" s="1"/>
  <c r="G11" i="5"/>
  <c r="F11" i="5"/>
  <c r="E12" i="4"/>
  <c r="F12" i="4" s="1"/>
  <c r="G12" i="4" s="1"/>
  <c r="E12" i="5" l="1"/>
  <c r="D13" i="5" s="1"/>
  <c r="G13" i="5" s="1"/>
  <c r="G12" i="5"/>
  <c r="F12" i="5"/>
  <c r="E13" i="4"/>
  <c r="F13" i="4" s="1"/>
  <c r="G13" i="4" s="1"/>
  <c r="F13" i="5" l="1"/>
  <c r="E13" i="5"/>
  <c r="D14" i="5" s="1"/>
  <c r="E14" i="4"/>
  <c r="F14" i="4" s="1"/>
  <c r="G14" i="4" s="1"/>
  <c r="E14" i="5" l="1"/>
  <c r="D15" i="5" s="1"/>
  <c r="H15" i="5" s="1"/>
  <c r="G14" i="5"/>
  <c r="F14" i="5"/>
  <c r="E15" i="4"/>
  <c r="F15" i="4" s="1"/>
  <c r="G15" i="4" s="1"/>
  <c r="E15" i="5" l="1"/>
  <c r="D16" i="5" s="1"/>
  <c r="H16" i="5" s="1"/>
  <c r="G15" i="5"/>
  <c r="F15" i="5"/>
  <c r="E16" i="4"/>
  <c r="F16" i="4" s="1"/>
  <c r="G16" i="4" s="1"/>
  <c r="E16" i="5" l="1"/>
  <c r="D17" i="5" s="1"/>
  <c r="H17" i="5" s="1"/>
  <c r="G16" i="5"/>
  <c r="F16" i="5"/>
  <c r="E17" i="4"/>
  <c r="F17" i="4" s="1"/>
  <c r="G17" i="4" s="1"/>
  <c r="E17" i="5" l="1"/>
  <c r="D18" i="5" s="1"/>
  <c r="H18" i="5" s="1"/>
  <c r="G17" i="5"/>
  <c r="F17" i="5"/>
  <c r="E18" i="4"/>
  <c r="F18" i="4" s="1"/>
  <c r="G18" i="4" s="1"/>
  <c r="E18" i="5" l="1"/>
  <c r="D19" i="5" s="1"/>
  <c r="H19" i="5" s="1"/>
  <c r="G18" i="5"/>
  <c r="F18" i="5"/>
  <c r="E19" i="4"/>
  <c r="F19" i="4" s="1"/>
  <c r="G19" i="4" s="1"/>
  <c r="E19" i="5" l="1"/>
  <c r="D20" i="5" s="1"/>
  <c r="H20" i="5" s="1"/>
  <c r="G19" i="5"/>
  <c r="F19" i="5"/>
  <c r="E20" i="4"/>
  <c r="F20" i="4" s="1"/>
  <c r="G20" i="4" s="1"/>
  <c r="E20" i="5" l="1"/>
  <c r="D21" i="5" s="1"/>
  <c r="H21" i="5" s="1"/>
  <c r="G20" i="5"/>
  <c r="F20" i="5"/>
  <c r="E21" i="4"/>
  <c r="F21" i="4" s="1"/>
  <c r="G21" i="4" s="1"/>
  <c r="E21" i="5" l="1"/>
  <c r="D22" i="5" s="1"/>
  <c r="H22" i="5" s="1"/>
  <c r="G21" i="5"/>
  <c r="F21" i="5"/>
  <c r="E22" i="4"/>
  <c r="F22" i="4" s="1"/>
  <c r="G22" i="4" s="1"/>
  <c r="E22" i="5" l="1"/>
  <c r="D23" i="5" s="1"/>
  <c r="H23" i="5" s="1"/>
  <c r="G22" i="5"/>
  <c r="F22" i="5"/>
  <c r="E23" i="4"/>
  <c r="F23" i="4" s="1"/>
  <c r="G23" i="4" s="1"/>
  <c r="E23" i="5" l="1"/>
  <c r="D24" i="5" s="1"/>
  <c r="H24" i="5" s="1"/>
  <c r="G23" i="5"/>
  <c r="F23" i="5"/>
  <c r="E24" i="4"/>
  <c r="F24" i="4" s="1"/>
  <c r="G24" i="4" s="1"/>
  <c r="E24" i="5" l="1"/>
  <c r="D25" i="5" s="1"/>
  <c r="G24" i="5"/>
  <c r="F24" i="5"/>
  <c r="E25" i="4"/>
  <c r="F25" i="4" s="1"/>
  <c r="G25" i="4" s="1"/>
  <c r="E25" i="5" l="1"/>
  <c r="D26" i="5" s="1"/>
  <c r="H26" i="5" s="1"/>
  <c r="H25" i="5"/>
  <c r="G25" i="5"/>
  <c r="F25" i="5"/>
  <c r="E26" i="4"/>
  <c r="F26" i="4" s="1"/>
  <c r="G26" i="4" s="1"/>
  <c r="E26" i="5" l="1"/>
  <c r="D27" i="5" s="1"/>
  <c r="H27" i="5" s="1"/>
  <c r="G26" i="5"/>
  <c r="F26" i="5"/>
  <c r="E27" i="4"/>
  <c r="F27" i="4" s="1"/>
  <c r="G27" i="4" s="1"/>
  <c r="E27" i="5" l="1"/>
  <c r="D28" i="5" s="1"/>
  <c r="H28" i="5" s="1"/>
  <c r="G27" i="5"/>
  <c r="F27" i="5"/>
  <c r="E28" i="4"/>
  <c r="F28" i="4" s="1"/>
  <c r="G28" i="4" s="1"/>
  <c r="E28" i="5" l="1"/>
  <c r="D29" i="5" s="1"/>
  <c r="H29" i="5" s="1"/>
  <c r="G28" i="5"/>
  <c r="F28" i="5"/>
  <c r="E29" i="4"/>
  <c r="F29" i="4" s="1"/>
  <c r="G29" i="4" s="1"/>
  <c r="E29" i="5" l="1"/>
  <c r="D30" i="5" s="1"/>
  <c r="H30" i="5" s="1"/>
  <c r="G29" i="5"/>
  <c r="F29" i="5"/>
  <c r="E30" i="4"/>
  <c r="F30" i="4" s="1"/>
  <c r="G30" i="4" s="1"/>
  <c r="E30" i="5" l="1"/>
  <c r="D31" i="5" s="1"/>
  <c r="H31" i="5" s="1"/>
  <c r="G30" i="5"/>
  <c r="F30" i="5"/>
  <c r="E31" i="4"/>
  <c r="F31" i="4" s="1"/>
  <c r="G31" i="4" s="1"/>
  <c r="E31" i="5" l="1"/>
  <c r="D32" i="5" s="1"/>
  <c r="H32" i="5" s="1"/>
  <c r="G31" i="5"/>
  <c r="F31" i="5"/>
  <c r="E32" i="4"/>
  <c r="F32" i="4" s="1"/>
  <c r="G32" i="4" s="1"/>
  <c r="E32" i="5" l="1"/>
  <c r="D33" i="5" s="1"/>
  <c r="H33" i="5" s="1"/>
  <c r="G32" i="5"/>
  <c r="F32" i="5"/>
  <c r="E33" i="4"/>
  <c r="F33" i="4" s="1"/>
  <c r="G33" i="4" s="1"/>
  <c r="E33" i="5" l="1"/>
  <c r="D34" i="5" s="1"/>
  <c r="H34" i="5" s="1"/>
  <c r="G33" i="5"/>
  <c r="F33" i="5"/>
  <c r="E34" i="4"/>
  <c r="F34" i="4" s="1"/>
  <c r="G34" i="4" s="1"/>
  <c r="E34" i="5" l="1"/>
  <c r="D35" i="5" s="1"/>
  <c r="H35" i="5" s="1"/>
  <c r="G34" i="5"/>
  <c r="F34" i="5"/>
  <c r="E35" i="4"/>
  <c r="F35" i="4" s="1"/>
  <c r="G35" i="4" s="1"/>
  <c r="E35" i="5" l="1"/>
  <c r="D36" i="5" s="1"/>
  <c r="H36" i="5" s="1"/>
  <c r="G35" i="5"/>
  <c r="F35" i="5"/>
  <c r="E36" i="4"/>
  <c r="F36" i="4" s="1"/>
  <c r="G36" i="4" s="1"/>
  <c r="E36" i="5" l="1"/>
  <c r="D37" i="5" s="1"/>
  <c r="H37" i="5" s="1"/>
  <c r="G36" i="5"/>
  <c r="F36" i="5"/>
  <c r="E37" i="4"/>
  <c r="F37" i="4" s="1"/>
  <c r="G37" i="4" s="1"/>
  <c r="E37" i="5" l="1"/>
  <c r="D38" i="5" s="1"/>
  <c r="H38" i="5" s="1"/>
  <c r="G37" i="5"/>
  <c r="F37" i="5"/>
  <c r="E38" i="4"/>
  <c r="F38" i="4" s="1"/>
  <c r="G38" i="4" s="1"/>
  <c r="E38" i="5" l="1"/>
  <c r="D39" i="5" s="1"/>
  <c r="H39" i="5" s="1"/>
  <c r="G38" i="5"/>
  <c r="F38" i="5"/>
  <c r="E39" i="4"/>
  <c r="F39" i="4" s="1"/>
  <c r="G39" i="4" s="1"/>
  <c r="E39" i="5" l="1"/>
  <c r="D40" i="5" s="1"/>
  <c r="H40" i="5" s="1"/>
  <c r="G39" i="5"/>
  <c r="F39" i="5"/>
  <c r="E40" i="4"/>
  <c r="F40" i="4" s="1"/>
  <c r="G40" i="4" s="1"/>
  <c r="E40" i="5" l="1"/>
  <c r="D41" i="5" s="1"/>
  <c r="H41" i="5" s="1"/>
  <c r="G40" i="5"/>
  <c r="F40" i="5"/>
  <c r="E41" i="4"/>
  <c r="F41" i="4" s="1"/>
  <c r="G41" i="4" s="1"/>
  <c r="E41" i="5" l="1"/>
  <c r="D42" i="5" s="1"/>
  <c r="H42" i="5" s="1"/>
  <c r="G41" i="5"/>
  <c r="F41" i="5"/>
  <c r="E42" i="4"/>
  <c r="F42" i="4" s="1"/>
  <c r="G42" i="4" s="1"/>
  <c r="E42" i="5" l="1"/>
  <c r="D43" i="5" s="1"/>
  <c r="H43" i="5" s="1"/>
  <c r="G42" i="5"/>
  <c r="F42" i="5"/>
  <c r="E43" i="4"/>
  <c r="F43" i="4" s="1"/>
  <c r="G43" i="4" s="1"/>
  <c r="E43" i="5" l="1"/>
  <c r="D44" i="5" s="1"/>
  <c r="H44" i="5" s="1"/>
  <c r="G43" i="5"/>
  <c r="F43" i="5"/>
  <c r="E44" i="4"/>
  <c r="F44" i="4" s="1"/>
  <c r="G44" i="4" s="1"/>
  <c r="E44" i="5" l="1"/>
  <c r="D45" i="5" s="1"/>
  <c r="H45" i="5" s="1"/>
  <c r="G44" i="5"/>
  <c r="F44" i="5"/>
  <c r="E45" i="4"/>
  <c r="F45" i="4" s="1"/>
  <c r="G45" i="4" s="1"/>
  <c r="E45" i="5" l="1"/>
  <c r="D46" i="5" s="1"/>
  <c r="H46" i="5" s="1"/>
  <c r="G45" i="5"/>
  <c r="F45" i="5"/>
  <c r="E46" i="4"/>
  <c r="F46" i="4" s="1"/>
  <c r="G46" i="4" s="1"/>
  <c r="E46" i="5" l="1"/>
  <c r="D47" i="5" s="1"/>
  <c r="H47" i="5" s="1"/>
  <c r="G46" i="5"/>
  <c r="F46" i="5"/>
  <c r="E47" i="4"/>
  <c r="F47" i="4" s="1"/>
  <c r="G47" i="4" s="1"/>
  <c r="E47" i="5" l="1"/>
  <c r="D48" i="5" s="1"/>
  <c r="H48" i="5" s="1"/>
  <c r="G47" i="5"/>
  <c r="F47" i="5"/>
  <c r="E48" i="4"/>
  <c r="F48" i="4" s="1"/>
  <c r="G48" i="4" s="1"/>
  <c r="E48" i="5" l="1"/>
  <c r="D49" i="5" s="1"/>
  <c r="H49" i="5" s="1"/>
  <c r="G48" i="5"/>
  <c r="F48" i="5"/>
  <c r="E49" i="4"/>
  <c r="F49" i="4" s="1"/>
  <c r="G49" i="4" s="1"/>
  <c r="E49" i="5" l="1"/>
  <c r="D50" i="5" s="1"/>
  <c r="H50" i="5" s="1"/>
  <c r="G49" i="5"/>
  <c r="F49" i="5"/>
  <c r="E50" i="4"/>
  <c r="F50" i="4" s="1"/>
  <c r="G50" i="4" s="1"/>
  <c r="E50" i="5" l="1"/>
  <c r="D51" i="5" s="1"/>
  <c r="H51" i="5" s="1"/>
  <c r="G50" i="5"/>
  <c r="F50" i="5"/>
  <c r="E51" i="4"/>
  <c r="F51" i="4" s="1"/>
  <c r="G51" i="4" s="1"/>
  <c r="E51" i="5" l="1"/>
  <c r="D52" i="5" s="1"/>
  <c r="H52" i="5" s="1"/>
  <c r="G51" i="5"/>
  <c r="F51" i="5"/>
  <c r="E52" i="4"/>
  <c r="F52" i="4" s="1"/>
  <c r="G52" i="4" s="1"/>
  <c r="E52" i="5" l="1"/>
  <c r="D53" i="5" s="1"/>
  <c r="H53" i="5" s="1"/>
  <c r="G52" i="5"/>
  <c r="F52" i="5"/>
  <c r="E53" i="5" l="1"/>
  <c r="D54" i="5" s="1"/>
  <c r="H54" i="5" s="1"/>
  <c r="G53" i="5"/>
  <c r="F53" i="5"/>
  <c r="E54" i="5" l="1"/>
  <c r="D55" i="5" s="1"/>
  <c r="H55" i="5" s="1"/>
  <c r="G54" i="5"/>
  <c r="F54" i="5"/>
  <c r="E55" i="5" l="1"/>
  <c r="D56" i="5" s="1"/>
  <c r="H56" i="5" s="1"/>
  <c r="G55" i="5"/>
  <c r="F55" i="5"/>
  <c r="E56" i="5" l="1"/>
  <c r="D57" i="5" s="1"/>
  <c r="H57" i="5" s="1"/>
  <c r="G56" i="5"/>
  <c r="F56" i="5"/>
  <c r="E57" i="5" l="1"/>
  <c r="D58" i="5" s="1"/>
  <c r="H58" i="5" s="1"/>
  <c r="G57" i="5"/>
  <c r="F57" i="5"/>
  <c r="E58" i="5" l="1"/>
  <c r="D59" i="5" s="1"/>
  <c r="H59" i="5" s="1"/>
  <c r="G58" i="5"/>
  <c r="F58" i="5"/>
  <c r="E59" i="5" l="1"/>
  <c r="D60" i="5" s="1"/>
  <c r="H60" i="5" s="1"/>
  <c r="G59" i="5"/>
  <c r="F59" i="5"/>
  <c r="E60" i="5" l="1"/>
  <c r="D61" i="5" s="1"/>
  <c r="H61" i="5" s="1"/>
  <c r="G60" i="5"/>
  <c r="F60" i="5"/>
  <c r="E61" i="5" l="1"/>
  <c r="D62" i="5" s="1"/>
  <c r="H62" i="5" s="1"/>
  <c r="G61" i="5"/>
  <c r="F61" i="5"/>
  <c r="E62" i="5" l="1"/>
  <c r="D63" i="5" s="1"/>
  <c r="H63" i="5" s="1"/>
  <c r="G62" i="5"/>
  <c r="F62" i="5"/>
  <c r="E63" i="5" l="1"/>
  <c r="D64" i="5" s="1"/>
  <c r="H64" i="5" s="1"/>
  <c r="G63" i="5"/>
  <c r="F63" i="5"/>
  <c r="E64" i="5" l="1"/>
  <c r="D65" i="5" s="1"/>
  <c r="H65" i="5" s="1"/>
  <c r="G64" i="5"/>
  <c r="F64" i="5"/>
  <c r="E65" i="5" l="1"/>
  <c r="D66" i="5" s="1"/>
  <c r="H66" i="5" s="1"/>
  <c r="G65" i="5"/>
  <c r="F65" i="5"/>
  <c r="E66" i="5" l="1"/>
  <c r="D67" i="5" s="1"/>
  <c r="H67" i="5" s="1"/>
  <c r="G66" i="5"/>
  <c r="F66" i="5"/>
  <c r="E67" i="5" l="1"/>
  <c r="D68" i="5" s="1"/>
  <c r="H68" i="5" s="1"/>
  <c r="G67" i="5"/>
  <c r="F67" i="5"/>
  <c r="E68" i="5" l="1"/>
  <c r="D69" i="5" s="1"/>
  <c r="H69" i="5" s="1"/>
  <c r="G68" i="5"/>
  <c r="F68" i="5"/>
  <c r="E69" i="5" l="1"/>
  <c r="D70" i="5" s="1"/>
  <c r="H70" i="5" s="1"/>
  <c r="G69" i="5"/>
  <c r="F69" i="5"/>
  <c r="E70" i="5" l="1"/>
  <c r="D71" i="5" s="1"/>
  <c r="H71" i="5" s="1"/>
  <c r="G70" i="5"/>
  <c r="F70" i="5"/>
  <c r="E71" i="5" l="1"/>
  <c r="D72" i="5" s="1"/>
  <c r="H72" i="5" s="1"/>
  <c r="G71" i="5"/>
  <c r="F71" i="5"/>
  <c r="E72" i="5" l="1"/>
  <c r="D73" i="5" s="1"/>
  <c r="H73" i="5" s="1"/>
  <c r="G72" i="5"/>
  <c r="F72" i="5"/>
  <c r="E73" i="5" l="1"/>
  <c r="D74" i="5" s="1"/>
  <c r="H74" i="5" s="1"/>
  <c r="G73" i="5"/>
  <c r="F73" i="5"/>
  <c r="E74" i="5" l="1"/>
  <c r="D75" i="5" s="1"/>
  <c r="H75" i="5" s="1"/>
  <c r="G74" i="5"/>
  <c r="F74" i="5"/>
  <c r="I16" i="5" l="1"/>
  <c r="J16" i="5" s="1"/>
  <c r="K16" i="5" s="1"/>
  <c r="K17" i="5" s="1"/>
  <c r="E75" i="5"/>
  <c r="D76" i="5" s="1"/>
  <c r="G75" i="5"/>
  <c r="F75" i="5"/>
  <c r="E76" i="5" l="1"/>
  <c r="D77" i="5" s="1"/>
  <c r="G76" i="5"/>
  <c r="F76" i="5"/>
  <c r="E77" i="5" l="1"/>
  <c r="D78" i="5" s="1"/>
  <c r="G77" i="5"/>
  <c r="F77" i="5"/>
  <c r="E78" i="5" l="1"/>
  <c r="D79" i="5" s="1"/>
  <c r="G78" i="5"/>
  <c r="F78" i="5"/>
  <c r="E79" i="5" l="1"/>
  <c r="D80" i="5" s="1"/>
  <c r="G79" i="5"/>
  <c r="F79" i="5"/>
  <c r="E80" i="5" l="1"/>
  <c r="D81" i="5" s="1"/>
  <c r="G80" i="5"/>
  <c r="F80" i="5"/>
  <c r="E81" i="5" l="1"/>
  <c r="D82" i="5" s="1"/>
  <c r="G81" i="5"/>
  <c r="F81" i="5"/>
  <c r="E82" i="5" l="1"/>
  <c r="D83" i="5" s="1"/>
  <c r="G82" i="5"/>
  <c r="F82" i="5"/>
  <c r="E83" i="5" l="1"/>
  <c r="D84" i="5" s="1"/>
  <c r="G83" i="5"/>
  <c r="F83" i="5"/>
  <c r="E84" i="5" l="1"/>
  <c r="D85" i="5" s="1"/>
  <c r="G84" i="5"/>
  <c r="F84" i="5"/>
  <c r="E85" i="5" l="1"/>
  <c r="D86" i="5" s="1"/>
  <c r="G85" i="5"/>
  <c r="F85" i="5"/>
  <c r="E86" i="5" l="1"/>
  <c r="D87" i="5" s="1"/>
  <c r="G86" i="5"/>
  <c r="F86" i="5"/>
  <c r="E87" i="5" l="1"/>
  <c r="D88" i="5" s="1"/>
  <c r="G87" i="5"/>
  <c r="F87" i="5"/>
  <c r="E88" i="5" l="1"/>
  <c r="D89" i="5" s="1"/>
  <c r="G88" i="5"/>
  <c r="F88" i="5"/>
  <c r="E89" i="5" l="1"/>
  <c r="D90" i="5" s="1"/>
  <c r="G89" i="5"/>
  <c r="F89" i="5"/>
  <c r="E90" i="5" l="1"/>
  <c r="D91" i="5" s="1"/>
  <c r="G90" i="5"/>
  <c r="F90" i="5"/>
  <c r="E91" i="5" l="1"/>
  <c r="D92" i="5" s="1"/>
  <c r="G91" i="5"/>
  <c r="F91" i="5"/>
  <c r="E92" i="5" l="1"/>
  <c r="D93" i="5" s="1"/>
  <c r="G92" i="5"/>
  <c r="F92" i="5"/>
  <c r="E93" i="5" l="1"/>
  <c r="D94" i="5" s="1"/>
  <c r="G93" i="5"/>
  <c r="F93" i="5"/>
  <c r="E94" i="5" l="1"/>
  <c r="D95" i="5" s="1"/>
  <c r="G94" i="5"/>
  <c r="F94" i="5"/>
  <c r="E95" i="5" l="1"/>
  <c r="D96" i="5" s="1"/>
  <c r="G95" i="5"/>
  <c r="F95" i="5"/>
  <c r="E96" i="5" l="1"/>
  <c r="D97" i="5" s="1"/>
  <c r="G96" i="5"/>
  <c r="F96" i="5"/>
  <c r="E97" i="5" l="1"/>
  <c r="D98" i="5" s="1"/>
  <c r="G97" i="5"/>
  <c r="F97" i="5"/>
  <c r="E98" i="5" l="1"/>
  <c r="D99" i="5" s="1"/>
  <c r="G98" i="5"/>
  <c r="F98" i="5"/>
  <c r="E99" i="5" l="1"/>
  <c r="D100" i="5" s="1"/>
  <c r="G99" i="5"/>
  <c r="F99" i="5"/>
  <c r="E100" i="5" l="1"/>
  <c r="D101" i="5" s="1"/>
  <c r="G100" i="5"/>
  <c r="F100" i="5"/>
  <c r="E101" i="5" l="1"/>
  <c r="D102" i="5" s="1"/>
  <c r="G101" i="5"/>
  <c r="F101" i="5"/>
  <c r="E102" i="5" l="1"/>
  <c r="D103" i="5" s="1"/>
  <c r="G102" i="5"/>
  <c r="F102" i="5"/>
  <c r="E103" i="5" l="1"/>
  <c r="D104" i="5" s="1"/>
  <c r="G103" i="5"/>
  <c r="F103" i="5"/>
  <c r="E104" i="5" l="1"/>
  <c r="D105" i="5" s="1"/>
  <c r="G104" i="5"/>
  <c r="F104" i="5"/>
  <c r="E105" i="5" l="1"/>
  <c r="D106" i="5" s="1"/>
  <c r="G105" i="5"/>
  <c r="F105" i="5"/>
  <c r="E106" i="5" l="1"/>
  <c r="D107" i="5" s="1"/>
  <c r="G106" i="5"/>
  <c r="F106" i="5"/>
  <c r="E107" i="5" l="1"/>
  <c r="D108" i="5" s="1"/>
  <c r="G107" i="5"/>
  <c r="F107" i="5"/>
  <c r="E108" i="5" l="1"/>
  <c r="D109" i="5" s="1"/>
  <c r="G108" i="5"/>
  <c r="F108" i="5"/>
  <c r="E109" i="5" l="1"/>
  <c r="D110" i="5" s="1"/>
  <c r="G109" i="5"/>
  <c r="F109" i="5"/>
  <c r="E110" i="5" l="1"/>
  <c r="D111" i="5" s="1"/>
  <c r="G110" i="5"/>
  <c r="F110" i="5"/>
  <c r="E111" i="5" l="1"/>
  <c r="D112" i="5" s="1"/>
  <c r="G111" i="5"/>
  <c r="F111" i="5"/>
  <c r="E112" i="5" l="1"/>
  <c r="D113" i="5" s="1"/>
  <c r="G112" i="5"/>
  <c r="F112" i="5"/>
  <c r="E113" i="5" l="1"/>
  <c r="D114" i="5" s="1"/>
  <c r="G113" i="5"/>
  <c r="F113" i="5"/>
  <c r="E114" i="5" l="1"/>
  <c r="D115" i="5" s="1"/>
  <c r="G114" i="5"/>
  <c r="F114" i="5"/>
  <c r="E115" i="5" l="1"/>
  <c r="D116" i="5" s="1"/>
  <c r="G115" i="5"/>
  <c r="F115" i="5"/>
  <c r="E116" i="5" l="1"/>
  <c r="D117" i="5" s="1"/>
  <c r="G116" i="5"/>
  <c r="F116" i="5"/>
  <c r="E117" i="5" l="1"/>
  <c r="D118" i="5" s="1"/>
  <c r="G117" i="5"/>
  <c r="F117" i="5"/>
  <c r="E118" i="5" l="1"/>
  <c r="D119" i="5" s="1"/>
  <c r="G118" i="5"/>
  <c r="F118" i="5"/>
  <c r="E119" i="5" l="1"/>
  <c r="D120" i="5" s="1"/>
  <c r="G119" i="5"/>
  <c r="F119" i="5"/>
  <c r="E120" i="5" l="1"/>
  <c r="D121" i="5" s="1"/>
  <c r="G120" i="5"/>
  <c r="F120" i="5"/>
  <c r="E121" i="5" l="1"/>
  <c r="D122" i="5" s="1"/>
  <c r="G121" i="5"/>
  <c r="F121" i="5"/>
  <c r="E122" i="5" l="1"/>
  <c r="D123" i="5" s="1"/>
  <c r="G122" i="5"/>
  <c r="F122" i="5"/>
  <c r="E123" i="5" l="1"/>
  <c r="D124" i="5" s="1"/>
  <c r="G123" i="5"/>
  <c r="F123" i="5"/>
  <c r="E124" i="5" l="1"/>
  <c r="D125" i="5" s="1"/>
  <c r="G124" i="5"/>
  <c r="F124" i="5"/>
  <c r="E125" i="5" l="1"/>
  <c r="D126" i="5" s="1"/>
  <c r="G125" i="5"/>
  <c r="F125" i="5"/>
  <c r="E126" i="5" l="1"/>
  <c r="D127" i="5" s="1"/>
  <c r="G126" i="5"/>
  <c r="F126" i="5"/>
  <c r="E127" i="5" l="1"/>
  <c r="G127" i="5"/>
  <c r="F127" i="5"/>
</calcChain>
</file>

<file path=xl/connections.xml><?xml version="1.0" encoding="utf-8"?>
<connections xmlns="http://schemas.openxmlformats.org/spreadsheetml/2006/main">
  <connection id="1" name="isim_results1" type="6" refreshedVersion="6" background="1" saveData="1">
    <textPr codePage="850" sourceFile="E:\Dropbox\HOAX_35\FPGA_ISE_S6\isim_results.txt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<sst xmlns="http://schemas.openxmlformats.org/spreadsheetml/2006/main" count="108" uniqueCount="85">
  <si>
    <t>k1</t>
  </si>
  <si>
    <t>k2</t>
  </si>
  <si>
    <t>Shifts</t>
  </si>
  <si>
    <t>-ln(k1)</t>
  </si>
  <si>
    <t>t (1/fs)</t>
  </si>
  <si>
    <t>Eingabefelder</t>
  </si>
  <si>
    <t>Ergebnisse</t>
  </si>
  <si>
    <t>Verwendung von Shifts anstelle von Multiplikationen</t>
  </si>
  <si>
    <t>Faktor k2 (Float)</t>
  </si>
  <si>
    <t>Grenzfrequenz Hz</t>
  </si>
  <si>
    <t>(Float)</t>
  </si>
  <si>
    <t>Digitale Filter nach Make: 6/2022</t>
  </si>
  <si>
    <t>Für 6/12dB Lowpass, Highpass, Sinus-Oszillator und Biquad-Bandpass</t>
  </si>
  <si>
    <t>Zwischenergebnise</t>
  </si>
  <si>
    <t>Samplingrate fs, Hz</t>
  </si>
  <si>
    <t>Multiplikator k</t>
  </si>
  <si>
    <t>Grenzfrequenz fg, Hz</t>
  </si>
  <si>
    <t>für Integer-Routinen</t>
  </si>
  <si>
    <t>µs</t>
  </si>
  <si>
    <t>Hz</t>
  </si>
  <si>
    <t>auch für Filter mit Oversampling (biquad_1_simple.vhd oder filter_6_tunable.vhd)</t>
  </si>
  <si>
    <t>Integer-Shift (Anzahl Bits)</t>
  </si>
  <si>
    <t>Sine Hz</t>
  </si>
  <si>
    <t>Zeitkonstante bei 6dB-Filter</t>
  </si>
  <si>
    <t>rad Adder</t>
  </si>
  <si>
    <t>Oszillator-, Mitten- oder</t>
  </si>
  <si>
    <t>(KF bei Integer-Shift)</t>
  </si>
  <si>
    <t>Faktor KF bei Integer-Shift</t>
  </si>
  <si>
    <t>VHDL-Testbench</t>
  </si>
  <si>
    <t>fg pro 1 KF</t>
  </si>
  <si>
    <t>Biquad DCO</t>
  </si>
  <si>
    <t>mit Prescaler</t>
  </si>
  <si>
    <t>Prescaler</t>
  </si>
  <si>
    <t>Frequenz Hz</t>
  </si>
  <si>
    <t>Int-Fac für k2=1</t>
  </si>
  <si>
    <t>(KF bei Integer-Mult)</t>
  </si>
  <si>
    <t>Frequenz</t>
  </si>
  <si>
    <t>Kontrolle</t>
  </si>
  <si>
    <t>SysClock Hz</t>
  </si>
  <si>
    <t>Samples</t>
  </si>
  <si>
    <t>einfügen</t>
  </si>
  <si>
    <t>(49152000)</t>
  </si>
  <si>
    <t>Anzahl Samples für 1 Schwingung</t>
  </si>
  <si>
    <t>fs</t>
  </si>
  <si>
    <t>Faktor</t>
  </si>
  <si>
    <t>KF</t>
  </si>
  <si>
    <t>Frequ</t>
  </si>
  <si>
    <t>KF bei Integer-Multiplikation</t>
  </si>
  <si>
    <t>2pi()dt</t>
  </si>
  <si>
    <t>dt (1/fs)</t>
  </si>
  <si>
    <t>x[n]</t>
  </si>
  <si>
    <t>x[n-1]</t>
  </si>
  <si>
    <t>y[n]</t>
  </si>
  <si>
    <t>y[n-1]</t>
  </si>
  <si>
    <t>Allpass-Simulation</t>
  </si>
  <si>
    <t>Step</t>
  </si>
  <si>
    <t>K</t>
  </si>
  <si>
    <t>y[n]=ky[n-1]-kx[n-1]+x[n-1]</t>
  </si>
  <si>
    <t>Halbe Summe</t>
  </si>
  <si>
    <t>Lowpass-Simulation</t>
  </si>
  <si>
    <t>kf</t>
  </si>
  <si>
    <t>y[n]=kf(x[n] - y[n-1]) + y[n-1]</t>
  </si>
  <si>
    <t>x[n]-y[n-1]</t>
  </si>
  <si>
    <t>Lowpass</t>
  </si>
  <si>
    <t>Highpass</t>
  </si>
  <si>
    <t>Shelving</t>
  </si>
  <si>
    <t>s1x[n]-s2y[n-1]</t>
  </si>
  <si>
    <t>s1</t>
  </si>
  <si>
    <t>s2</t>
  </si>
  <si>
    <t>Hochpass-Shelving:</t>
  </si>
  <si>
    <t>s1 = Fullrange-Anteil, s2 = -(LF-Anteil)</t>
  </si>
  <si>
    <t>Voller Hochpass: s1 = 1, s2 = 1</t>
  </si>
  <si>
    <t>s1 = 1, s2 = HF-Anteil / Fullrange-Anteil</t>
  </si>
  <si>
    <t>Voller Tiefpass: s1 = 0, s2 = -1</t>
  </si>
  <si>
    <t>Tiefpass-Shelving:</t>
  </si>
  <si>
    <t>Tau bei</t>
  </si>
  <si>
    <t>Tau µs</t>
  </si>
  <si>
    <t>Grenzfrequenz</t>
  </si>
  <si>
    <t>Sampling kHz</t>
  </si>
  <si>
    <t>erreicht</t>
  </si>
  <si>
    <t>Low Pass Shelving</t>
  </si>
  <si>
    <t>High Pass Shelving</t>
  </si>
  <si>
    <t>Low Pass</t>
  </si>
  <si>
    <t>Gemessen mit Prescaler 511: Linearer Zusammenhang!</t>
  </si>
  <si>
    <t>fac bei  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</si>
</sst>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3" fillId="0" borderId="0" xfId="0" quotePrefix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3" borderId="0" xfId="0" applyFont="1" applyFill="1" applyAlignment="1">
      <alignment horizontal="left"/>
    </xf>
    <xf numFmtId="2" fontId="1" fillId="3" borderId="0" xfId="0" applyNumberFormat="1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0" fillId="0" borderId="0" xfId="0" quotePrefix="1"/>
    <xf numFmtId="0" fontId="1" fillId="3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/>
    </xf>
    <xf numFmtId="2" fontId="6" fillId="3" borderId="0" xfId="0" applyNumberFormat="1" applyFont="1" applyFill="1" applyAlignment="1">
      <alignment horizontal="left"/>
    </xf>
    <xf numFmtId="0" fontId="0" fillId="5" borderId="0" xfId="0" applyFill="1"/>
    <xf numFmtId="0" fontId="6" fillId="0" borderId="0" xfId="0" applyFont="1"/>
    <xf numFmtId="0" fontId="5" fillId="0" borderId="0" xfId="0" applyFont="1"/>
    <xf numFmtId="0" fontId="0" fillId="2" borderId="0" xfId="0" applyFont="1" applyFill="1" applyAlignment="1">
      <alignment horizontal="left"/>
    </xf>
    <xf numFmtId="0" fontId="0" fillId="6" borderId="0" xfId="0" quotePrefix="1" applyFill="1" applyAlignment="1">
      <alignment horizontal="left"/>
    </xf>
    <xf numFmtId="0" fontId="7" fillId="0" borderId="0" xfId="0" applyFont="1" applyAlignment="1">
      <alignment horizontal="left"/>
    </xf>
    <xf numFmtId="0" fontId="0" fillId="6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8" fillId="10" borderId="0" xfId="0" quotePrefix="1" applyFont="1" applyFill="1" applyAlignment="1">
      <alignment horizontal="left"/>
    </xf>
    <xf numFmtId="0" fontId="0" fillId="10" borderId="0" xfId="0" applyFill="1" applyAlignment="1">
      <alignment horizontal="left"/>
    </xf>
    <xf numFmtId="0" fontId="1" fillId="10" borderId="0" xfId="0" applyFont="1" applyFill="1"/>
    <xf numFmtId="0" fontId="1" fillId="10" borderId="0" xfId="0" applyFont="1" applyFill="1" applyAlignment="1">
      <alignment horizontal="left"/>
    </xf>
    <xf numFmtId="0" fontId="0" fillId="10" borderId="0" xfId="0" applyFill="1"/>
    <xf numFmtId="0" fontId="1" fillId="9" borderId="0" xfId="0" applyFont="1" applyFill="1" applyAlignment="1">
      <alignment horizontal="left"/>
    </xf>
    <xf numFmtId="0" fontId="1" fillId="9" borderId="0" xfId="0" quotePrefix="1" applyFont="1" applyFill="1" applyAlignment="1">
      <alignment horizontal="left"/>
    </xf>
    <xf numFmtId="0" fontId="1" fillId="7" borderId="0" xfId="0" applyFont="1" applyFill="1"/>
    <xf numFmtId="0" fontId="1" fillId="7" borderId="0" xfId="0" quotePrefix="1" applyFont="1" applyFill="1" applyAlignment="1">
      <alignment horizontal="left"/>
    </xf>
    <xf numFmtId="164" fontId="0" fillId="0" borderId="0" xfId="0" applyNumberFormat="1" applyAlignment="1">
      <alignment horizontal="left"/>
    </xf>
    <xf numFmtId="164" fontId="0" fillId="10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4" fontId="0" fillId="9" borderId="0" xfId="0" applyNumberFormat="1" applyFill="1" applyAlignment="1">
      <alignment horizontal="left"/>
    </xf>
    <xf numFmtId="2" fontId="0" fillId="10" borderId="0" xfId="0" applyNumberForma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'Biquad-DCO'!$L$1:$L$501</c:f>
              <c:numCache>
                <c:formatCode>General</c:formatCode>
                <c:ptCount val="501"/>
                <c:pt idx="0">
                  <c:v>61</c:v>
                </c:pt>
                <c:pt idx="1">
                  <c:v>121</c:v>
                </c:pt>
                <c:pt idx="2">
                  <c:v>182</c:v>
                </c:pt>
                <c:pt idx="3">
                  <c:v>241</c:v>
                </c:pt>
                <c:pt idx="4">
                  <c:v>300</c:v>
                </c:pt>
                <c:pt idx="5">
                  <c:v>358</c:v>
                </c:pt>
                <c:pt idx="6">
                  <c:v>414</c:v>
                </c:pt>
                <c:pt idx="7">
                  <c:v>469</c:v>
                </c:pt>
                <c:pt idx="8">
                  <c:v>522</c:v>
                </c:pt>
                <c:pt idx="9">
                  <c:v>573</c:v>
                </c:pt>
                <c:pt idx="10">
                  <c:v>622</c:v>
                </c:pt>
                <c:pt idx="11">
                  <c:v>668</c:v>
                </c:pt>
                <c:pt idx="12">
                  <c:v>712</c:v>
                </c:pt>
                <c:pt idx="13">
                  <c:v>754</c:v>
                </c:pt>
                <c:pt idx="14">
                  <c:v>793</c:v>
                </c:pt>
                <c:pt idx="15">
                  <c:v>828</c:v>
                </c:pt>
                <c:pt idx="16">
                  <c:v>861</c:v>
                </c:pt>
                <c:pt idx="17">
                  <c:v>890</c:v>
                </c:pt>
                <c:pt idx="18">
                  <c:v>917</c:v>
                </c:pt>
                <c:pt idx="19">
                  <c:v>939</c:v>
                </c:pt>
                <c:pt idx="20">
                  <c:v>958</c:v>
                </c:pt>
                <c:pt idx="21">
                  <c:v>974</c:v>
                </c:pt>
                <c:pt idx="22">
                  <c:v>986</c:v>
                </c:pt>
                <c:pt idx="23">
                  <c:v>994</c:v>
                </c:pt>
                <c:pt idx="24">
                  <c:v>999</c:v>
                </c:pt>
                <c:pt idx="25">
                  <c:v>1000</c:v>
                </c:pt>
                <c:pt idx="26">
                  <c:v>997</c:v>
                </c:pt>
                <c:pt idx="27">
                  <c:v>991</c:v>
                </c:pt>
                <c:pt idx="28">
                  <c:v>980</c:v>
                </c:pt>
                <c:pt idx="29">
                  <c:v>966</c:v>
                </c:pt>
                <c:pt idx="30">
                  <c:v>949</c:v>
                </c:pt>
                <c:pt idx="31">
                  <c:v>928</c:v>
                </c:pt>
                <c:pt idx="32">
                  <c:v>903</c:v>
                </c:pt>
                <c:pt idx="33">
                  <c:v>876</c:v>
                </c:pt>
                <c:pt idx="34">
                  <c:v>844</c:v>
                </c:pt>
                <c:pt idx="35">
                  <c:v>810</c:v>
                </c:pt>
                <c:pt idx="36">
                  <c:v>773</c:v>
                </c:pt>
                <c:pt idx="37">
                  <c:v>733</c:v>
                </c:pt>
                <c:pt idx="38">
                  <c:v>690</c:v>
                </c:pt>
                <c:pt idx="39">
                  <c:v>644</c:v>
                </c:pt>
                <c:pt idx="40">
                  <c:v>597</c:v>
                </c:pt>
                <c:pt idx="41">
                  <c:v>547</c:v>
                </c:pt>
                <c:pt idx="42">
                  <c:v>494</c:v>
                </c:pt>
                <c:pt idx="43">
                  <c:v>440</c:v>
                </c:pt>
                <c:pt idx="44">
                  <c:v>385</c:v>
                </c:pt>
                <c:pt idx="45">
                  <c:v>328</c:v>
                </c:pt>
                <c:pt idx="46">
                  <c:v>270</c:v>
                </c:pt>
                <c:pt idx="47">
                  <c:v>210</c:v>
                </c:pt>
                <c:pt idx="48">
                  <c:v>150</c:v>
                </c:pt>
                <c:pt idx="49">
                  <c:v>90</c:v>
                </c:pt>
                <c:pt idx="50">
                  <c:v>29</c:v>
                </c:pt>
                <c:pt idx="51">
                  <c:v>-32</c:v>
                </c:pt>
                <c:pt idx="52">
                  <c:v>-93</c:v>
                </c:pt>
                <c:pt idx="53">
                  <c:v>-154</c:v>
                </c:pt>
                <c:pt idx="54">
                  <c:v>-214</c:v>
                </c:pt>
                <c:pt idx="55">
                  <c:v>-273</c:v>
                </c:pt>
                <c:pt idx="56">
                  <c:v>-331</c:v>
                </c:pt>
                <c:pt idx="57">
                  <c:v>-388</c:v>
                </c:pt>
                <c:pt idx="58">
                  <c:v>-444</c:v>
                </c:pt>
                <c:pt idx="59">
                  <c:v>-497</c:v>
                </c:pt>
                <c:pt idx="60">
                  <c:v>-549</c:v>
                </c:pt>
                <c:pt idx="61">
                  <c:v>-599</c:v>
                </c:pt>
                <c:pt idx="62">
                  <c:v>-647</c:v>
                </c:pt>
                <c:pt idx="63">
                  <c:v>-692</c:v>
                </c:pt>
                <c:pt idx="64">
                  <c:v>-735</c:v>
                </c:pt>
                <c:pt idx="65">
                  <c:v>-775</c:v>
                </c:pt>
                <c:pt idx="66">
                  <c:v>-812</c:v>
                </c:pt>
                <c:pt idx="67">
                  <c:v>-846</c:v>
                </c:pt>
                <c:pt idx="68">
                  <c:v>-877</c:v>
                </c:pt>
                <c:pt idx="69">
                  <c:v>-905</c:v>
                </c:pt>
                <c:pt idx="70">
                  <c:v>-929</c:v>
                </c:pt>
                <c:pt idx="71">
                  <c:v>-950</c:v>
                </c:pt>
                <c:pt idx="72">
                  <c:v>-967</c:v>
                </c:pt>
                <c:pt idx="73">
                  <c:v>-981</c:v>
                </c:pt>
                <c:pt idx="74">
                  <c:v>-991</c:v>
                </c:pt>
                <c:pt idx="75">
                  <c:v>-997</c:v>
                </c:pt>
                <c:pt idx="76">
                  <c:v>-1000</c:v>
                </c:pt>
                <c:pt idx="77">
                  <c:v>-999</c:v>
                </c:pt>
                <c:pt idx="78">
                  <c:v>-994</c:v>
                </c:pt>
                <c:pt idx="79">
                  <c:v>-985</c:v>
                </c:pt>
                <c:pt idx="80">
                  <c:v>-973</c:v>
                </c:pt>
                <c:pt idx="81">
                  <c:v>-957</c:v>
                </c:pt>
                <c:pt idx="82">
                  <c:v>-938</c:v>
                </c:pt>
                <c:pt idx="83">
                  <c:v>-915</c:v>
                </c:pt>
                <c:pt idx="84">
                  <c:v>-889</c:v>
                </c:pt>
                <c:pt idx="85">
                  <c:v>-859</c:v>
                </c:pt>
                <c:pt idx="86">
                  <c:v>-826</c:v>
                </c:pt>
                <c:pt idx="87">
                  <c:v>-790</c:v>
                </c:pt>
                <c:pt idx="88">
                  <c:v>-752</c:v>
                </c:pt>
                <c:pt idx="89">
                  <c:v>-710</c:v>
                </c:pt>
                <c:pt idx="90">
                  <c:v>-666</c:v>
                </c:pt>
                <c:pt idx="91">
                  <c:v>-619</c:v>
                </c:pt>
                <c:pt idx="92">
                  <c:v>-570</c:v>
                </c:pt>
                <c:pt idx="93">
                  <c:v>-519</c:v>
                </c:pt>
                <c:pt idx="94">
                  <c:v>-466</c:v>
                </c:pt>
                <c:pt idx="95">
                  <c:v>-411</c:v>
                </c:pt>
                <c:pt idx="96">
                  <c:v>-354</c:v>
                </c:pt>
                <c:pt idx="97">
                  <c:v>-297</c:v>
                </c:pt>
                <c:pt idx="98">
                  <c:v>-238</c:v>
                </c:pt>
                <c:pt idx="99">
                  <c:v>-178</c:v>
                </c:pt>
                <c:pt idx="100">
                  <c:v>-118</c:v>
                </c:pt>
                <c:pt idx="101">
                  <c:v>-57</c:v>
                </c:pt>
                <c:pt idx="102">
                  <c:v>4</c:v>
                </c:pt>
                <c:pt idx="103">
                  <c:v>65</c:v>
                </c:pt>
                <c:pt idx="104">
                  <c:v>126</c:v>
                </c:pt>
                <c:pt idx="105">
                  <c:v>186</c:v>
                </c:pt>
                <c:pt idx="106">
                  <c:v>245</c:v>
                </c:pt>
                <c:pt idx="107">
                  <c:v>304</c:v>
                </c:pt>
                <c:pt idx="108">
                  <c:v>362</c:v>
                </c:pt>
                <c:pt idx="109">
                  <c:v>418</c:v>
                </c:pt>
                <c:pt idx="110">
                  <c:v>473</c:v>
                </c:pt>
                <c:pt idx="111">
                  <c:v>525</c:v>
                </c:pt>
                <c:pt idx="112">
                  <c:v>576</c:v>
                </c:pt>
                <c:pt idx="113">
                  <c:v>625</c:v>
                </c:pt>
                <c:pt idx="114">
                  <c:v>672</c:v>
                </c:pt>
                <c:pt idx="115">
                  <c:v>715</c:v>
                </c:pt>
                <c:pt idx="116">
                  <c:v>757</c:v>
                </c:pt>
                <c:pt idx="117">
                  <c:v>795</c:v>
                </c:pt>
                <c:pt idx="118">
                  <c:v>831</c:v>
                </c:pt>
                <c:pt idx="119">
                  <c:v>863</c:v>
                </c:pt>
                <c:pt idx="120">
                  <c:v>892</c:v>
                </c:pt>
                <c:pt idx="121">
                  <c:v>918</c:v>
                </c:pt>
                <c:pt idx="122">
                  <c:v>941</c:v>
                </c:pt>
                <c:pt idx="123">
                  <c:v>960</c:v>
                </c:pt>
                <c:pt idx="124">
                  <c:v>975</c:v>
                </c:pt>
                <c:pt idx="125">
                  <c:v>987</c:v>
                </c:pt>
                <c:pt idx="126">
                  <c:v>995</c:v>
                </c:pt>
                <c:pt idx="127">
                  <c:v>999</c:v>
                </c:pt>
                <c:pt idx="128">
                  <c:v>1000</c:v>
                </c:pt>
                <c:pt idx="129">
                  <c:v>996</c:v>
                </c:pt>
                <c:pt idx="130">
                  <c:v>990</c:v>
                </c:pt>
                <c:pt idx="131">
                  <c:v>979</c:v>
                </c:pt>
                <c:pt idx="132">
                  <c:v>965</c:v>
                </c:pt>
                <c:pt idx="133">
                  <c:v>947</c:v>
                </c:pt>
                <c:pt idx="134">
                  <c:v>926</c:v>
                </c:pt>
                <c:pt idx="135">
                  <c:v>901</c:v>
                </c:pt>
                <c:pt idx="136">
                  <c:v>873</c:v>
                </c:pt>
                <c:pt idx="137">
                  <c:v>842</c:v>
                </c:pt>
                <c:pt idx="138">
                  <c:v>807</c:v>
                </c:pt>
                <c:pt idx="139">
                  <c:v>770</c:v>
                </c:pt>
                <c:pt idx="140">
                  <c:v>730</c:v>
                </c:pt>
                <c:pt idx="141">
                  <c:v>687</c:v>
                </c:pt>
                <c:pt idx="142">
                  <c:v>641</c:v>
                </c:pt>
                <c:pt idx="143">
                  <c:v>593</c:v>
                </c:pt>
                <c:pt idx="144">
                  <c:v>543</c:v>
                </c:pt>
                <c:pt idx="145">
                  <c:v>490</c:v>
                </c:pt>
                <c:pt idx="146">
                  <c:v>436</c:v>
                </c:pt>
                <c:pt idx="147">
                  <c:v>381</c:v>
                </c:pt>
                <c:pt idx="148">
                  <c:v>324</c:v>
                </c:pt>
                <c:pt idx="149">
                  <c:v>265</c:v>
                </c:pt>
                <c:pt idx="150">
                  <c:v>206</c:v>
                </c:pt>
                <c:pt idx="151">
                  <c:v>146</c:v>
                </c:pt>
                <c:pt idx="152">
                  <c:v>85</c:v>
                </c:pt>
                <c:pt idx="153">
                  <c:v>24</c:v>
                </c:pt>
                <c:pt idx="154">
                  <c:v>-37</c:v>
                </c:pt>
                <c:pt idx="155">
                  <c:v>-97</c:v>
                </c:pt>
                <c:pt idx="156">
                  <c:v>-158</c:v>
                </c:pt>
                <c:pt idx="157">
                  <c:v>-218</c:v>
                </c:pt>
                <c:pt idx="158">
                  <c:v>-277</c:v>
                </c:pt>
                <c:pt idx="159">
                  <c:v>-335</c:v>
                </c:pt>
                <c:pt idx="160">
                  <c:v>-392</c:v>
                </c:pt>
                <c:pt idx="161">
                  <c:v>-447</c:v>
                </c:pt>
                <c:pt idx="162">
                  <c:v>-501</c:v>
                </c:pt>
                <c:pt idx="163">
                  <c:v>-553</c:v>
                </c:pt>
                <c:pt idx="164">
                  <c:v>-603</c:v>
                </c:pt>
                <c:pt idx="165">
                  <c:v>-650</c:v>
                </c:pt>
                <c:pt idx="166">
                  <c:v>-695</c:v>
                </c:pt>
                <c:pt idx="167">
                  <c:v>-738</c:v>
                </c:pt>
                <c:pt idx="168">
                  <c:v>-778</c:v>
                </c:pt>
                <c:pt idx="169">
                  <c:v>-814</c:v>
                </c:pt>
                <c:pt idx="170">
                  <c:v>-848</c:v>
                </c:pt>
                <c:pt idx="171">
                  <c:v>-879</c:v>
                </c:pt>
                <c:pt idx="172">
                  <c:v>-906</c:v>
                </c:pt>
                <c:pt idx="173">
                  <c:v>-930</c:v>
                </c:pt>
                <c:pt idx="174">
                  <c:v>-951</c:v>
                </c:pt>
                <c:pt idx="175">
                  <c:v>-968</c:v>
                </c:pt>
                <c:pt idx="176">
                  <c:v>-981</c:v>
                </c:pt>
                <c:pt idx="177">
                  <c:v>-991</c:v>
                </c:pt>
                <c:pt idx="178">
                  <c:v>-997</c:v>
                </c:pt>
                <c:pt idx="179">
                  <c:v>-1000</c:v>
                </c:pt>
                <c:pt idx="180">
                  <c:v>-998</c:v>
                </c:pt>
                <c:pt idx="181">
                  <c:v>-993</c:v>
                </c:pt>
                <c:pt idx="182">
                  <c:v>-984</c:v>
                </c:pt>
                <c:pt idx="183">
                  <c:v>-972</c:v>
                </c:pt>
                <c:pt idx="184">
                  <c:v>-956</c:v>
                </c:pt>
                <c:pt idx="185">
                  <c:v>-936</c:v>
                </c:pt>
                <c:pt idx="186">
                  <c:v>-913</c:v>
                </c:pt>
                <c:pt idx="187">
                  <c:v>-887</c:v>
                </c:pt>
                <c:pt idx="188">
                  <c:v>-857</c:v>
                </c:pt>
                <c:pt idx="189">
                  <c:v>-824</c:v>
                </c:pt>
                <c:pt idx="190">
                  <c:v>-788</c:v>
                </c:pt>
                <c:pt idx="191">
                  <c:v>-749</c:v>
                </c:pt>
                <c:pt idx="192">
                  <c:v>-707</c:v>
                </c:pt>
                <c:pt idx="193">
                  <c:v>-662</c:v>
                </c:pt>
                <c:pt idx="194">
                  <c:v>-615</c:v>
                </c:pt>
                <c:pt idx="195">
                  <c:v>-566</c:v>
                </c:pt>
                <c:pt idx="196">
                  <c:v>-515</c:v>
                </c:pt>
                <c:pt idx="197">
                  <c:v>-462</c:v>
                </c:pt>
                <c:pt idx="198">
                  <c:v>-407</c:v>
                </c:pt>
                <c:pt idx="199">
                  <c:v>-350</c:v>
                </c:pt>
                <c:pt idx="200">
                  <c:v>-293</c:v>
                </c:pt>
                <c:pt idx="201">
                  <c:v>-234</c:v>
                </c:pt>
                <c:pt idx="202">
                  <c:v>-174</c:v>
                </c:pt>
                <c:pt idx="203">
                  <c:v>-114</c:v>
                </c:pt>
                <c:pt idx="204">
                  <c:v>-53</c:v>
                </c:pt>
                <c:pt idx="205">
                  <c:v>8</c:v>
                </c:pt>
                <c:pt idx="206">
                  <c:v>69</c:v>
                </c:pt>
                <c:pt idx="207">
                  <c:v>130</c:v>
                </c:pt>
                <c:pt idx="208">
                  <c:v>190</c:v>
                </c:pt>
                <c:pt idx="209">
                  <c:v>250</c:v>
                </c:pt>
                <c:pt idx="210">
                  <c:v>308</c:v>
                </c:pt>
                <c:pt idx="211">
                  <c:v>366</c:v>
                </c:pt>
                <c:pt idx="212">
                  <c:v>422</c:v>
                </c:pt>
                <c:pt idx="213">
                  <c:v>476</c:v>
                </c:pt>
                <c:pt idx="214">
                  <c:v>529</c:v>
                </c:pt>
                <c:pt idx="215">
                  <c:v>580</c:v>
                </c:pt>
                <c:pt idx="216">
                  <c:v>628</c:v>
                </c:pt>
                <c:pt idx="217">
                  <c:v>675</c:v>
                </c:pt>
                <c:pt idx="218">
                  <c:v>718</c:v>
                </c:pt>
                <c:pt idx="219">
                  <c:v>759</c:v>
                </c:pt>
                <c:pt idx="220">
                  <c:v>798</c:v>
                </c:pt>
                <c:pt idx="221">
                  <c:v>833</c:v>
                </c:pt>
                <c:pt idx="222">
                  <c:v>865</c:v>
                </c:pt>
                <c:pt idx="223">
                  <c:v>894</c:v>
                </c:pt>
                <c:pt idx="224">
                  <c:v>920</c:v>
                </c:pt>
                <c:pt idx="225">
                  <c:v>942</c:v>
                </c:pt>
                <c:pt idx="226">
                  <c:v>961</c:v>
                </c:pt>
                <c:pt idx="227">
                  <c:v>976</c:v>
                </c:pt>
                <c:pt idx="228">
                  <c:v>987</c:v>
                </c:pt>
                <c:pt idx="229">
                  <c:v>995</c:v>
                </c:pt>
                <c:pt idx="230">
                  <c:v>999</c:v>
                </c:pt>
                <c:pt idx="231">
                  <c:v>1000</c:v>
                </c:pt>
                <c:pt idx="232">
                  <c:v>996</c:v>
                </c:pt>
                <c:pt idx="233">
                  <c:v>989</c:v>
                </c:pt>
                <c:pt idx="234">
                  <c:v>978</c:v>
                </c:pt>
                <c:pt idx="235">
                  <c:v>964</c:v>
                </c:pt>
                <c:pt idx="236">
                  <c:v>946</c:v>
                </c:pt>
                <c:pt idx="237">
                  <c:v>924</c:v>
                </c:pt>
                <c:pt idx="238">
                  <c:v>899</c:v>
                </c:pt>
                <c:pt idx="239">
                  <c:v>871</c:v>
                </c:pt>
                <c:pt idx="240">
                  <c:v>840</c:v>
                </c:pt>
                <c:pt idx="241">
                  <c:v>805</c:v>
                </c:pt>
                <c:pt idx="242">
                  <c:v>767</c:v>
                </c:pt>
                <c:pt idx="243">
                  <c:v>727</c:v>
                </c:pt>
                <c:pt idx="244">
                  <c:v>684</c:v>
                </c:pt>
                <c:pt idx="245">
                  <c:v>638</c:v>
                </c:pt>
                <c:pt idx="246">
                  <c:v>590</c:v>
                </c:pt>
                <c:pt idx="247">
                  <c:v>539</c:v>
                </c:pt>
                <c:pt idx="248">
                  <c:v>487</c:v>
                </c:pt>
                <c:pt idx="249">
                  <c:v>433</c:v>
                </c:pt>
                <c:pt idx="250">
                  <c:v>377</c:v>
                </c:pt>
                <c:pt idx="251">
                  <c:v>320</c:v>
                </c:pt>
                <c:pt idx="252">
                  <c:v>261</c:v>
                </c:pt>
                <c:pt idx="253">
                  <c:v>202</c:v>
                </c:pt>
                <c:pt idx="254">
                  <c:v>142</c:v>
                </c:pt>
                <c:pt idx="255">
                  <c:v>81</c:v>
                </c:pt>
                <c:pt idx="256">
                  <c:v>20</c:v>
                </c:pt>
                <c:pt idx="257">
                  <c:v>-41</c:v>
                </c:pt>
                <c:pt idx="258">
                  <c:v>-102</c:v>
                </c:pt>
                <c:pt idx="259">
                  <c:v>-162</c:v>
                </c:pt>
                <c:pt idx="260">
                  <c:v>-222</c:v>
                </c:pt>
                <c:pt idx="261">
                  <c:v>-281</c:v>
                </c:pt>
                <c:pt idx="262">
                  <c:v>-339</c:v>
                </c:pt>
                <c:pt idx="263">
                  <c:v>-396</c:v>
                </c:pt>
                <c:pt idx="264">
                  <c:v>-451</c:v>
                </c:pt>
                <c:pt idx="265">
                  <c:v>-505</c:v>
                </c:pt>
                <c:pt idx="266">
                  <c:v>-557</c:v>
                </c:pt>
                <c:pt idx="267">
                  <c:v>-606</c:v>
                </c:pt>
                <c:pt idx="268">
                  <c:v>-654</c:v>
                </c:pt>
                <c:pt idx="269">
                  <c:v>-698</c:v>
                </c:pt>
                <c:pt idx="270">
                  <c:v>-741</c:v>
                </c:pt>
                <c:pt idx="271">
                  <c:v>-780</c:v>
                </c:pt>
                <c:pt idx="272">
                  <c:v>-817</c:v>
                </c:pt>
                <c:pt idx="273">
                  <c:v>-851</c:v>
                </c:pt>
                <c:pt idx="274">
                  <c:v>-881</c:v>
                </c:pt>
                <c:pt idx="275">
                  <c:v>-908</c:v>
                </c:pt>
                <c:pt idx="276">
                  <c:v>-932</c:v>
                </c:pt>
                <c:pt idx="277">
                  <c:v>-952</c:v>
                </c:pt>
                <c:pt idx="278">
                  <c:v>-969</c:v>
                </c:pt>
                <c:pt idx="279">
                  <c:v>-982</c:v>
                </c:pt>
                <c:pt idx="280">
                  <c:v>-992</c:v>
                </c:pt>
                <c:pt idx="281">
                  <c:v>-998</c:v>
                </c:pt>
                <c:pt idx="282">
                  <c:v>-1000</c:v>
                </c:pt>
                <c:pt idx="283">
                  <c:v>-998</c:v>
                </c:pt>
                <c:pt idx="284">
                  <c:v>-993</c:v>
                </c:pt>
                <c:pt idx="285">
                  <c:v>-984</c:v>
                </c:pt>
                <c:pt idx="286">
                  <c:v>-971</c:v>
                </c:pt>
                <c:pt idx="287">
                  <c:v>-955</c:v>
                </c:pt>
                <c:pt idx="288">
                  <c:v>-935</c:v>
                </c:pt>
                <c:pt idx="289">
                  <c:v>-911</c:v>
                </c:pt>
                <c:pt idx="290">
                  <c:v>-885</c:v>
                </c:pt>
                <c:pt idx="291">
                  <c:v>-855</c:v>
                </c:pt>
                <c:pt idx="292">
                  <c:v>-821</c:v>
                </c:pt>
                <c:pt idx="293">
                  <c:v>-785</c:v>
                </c:pt>
                <c:pt idx="294">
                  <c:v>-746</c:v>
                </c:pt>
                <c:pt idx="295">
                  <c:v>-704</c:v>
                </c:pt>
                <c:pt idx="296">
                  <c:v>-659</c:v>
                </c:pt>
                <c:pt idx="297">
                  <c:v>-612</c:v>
                </c:pt>
                <c:pt idx="298">
                  <c:v>-563</c:v>
                </c:pt>
                <c:pt idx="299">
                  <c:v>-511</c:v>
                </c:pt>
                <c:pt idx="300">
                  <c:v>-458</c:v>
                </c:pt>
                <c:pt idx="301">
                  <c:v>-403</c:v>
                </c:pt>
                <c:pt idx="302">
                  <c:v>-346</c:v>
                </c:pt>
                <c:pt idx="303">
                  <c:v>-288</c:v>
                </c:pt>
                <c:pt idx="304">
                  <c:v>-229</c:v>
                </c:pt>
                <c:pt idx="305">
                  <c:v>-170</c:v>
                </c:pt>
                <c:pt idx="306">
                  <c:v>-109</c:v>
                </c:pt>
                <c:pt idx="307">
                  <c:v>-48</c:v>
                </c:pt>
                <c:pt idx="308">
                  <c:v>13</c:v>
                </c:pt>
                <c:pt idx="309">
                  <c:v>74</c:v>
                </c:pt>
                <c:pt idx="310">
                  <c:v>134</c:v>
                </c:pt>
                <c:pt idx="311">
                  <c:v>194</c:v>
                </c:pt>
                <c:pt idx="312">
                  <c:v>254</c:v>
                </c:pt>
                <c:pt idx="313">
                  <c:v>312</c:v>
                </c:pt>
                <c:pt idx="314">
                  <c:v>370</c:v>
                </c:pt>
                <c:pt idx="315">
                  <c:v>426</c:v>
                </c:pt>
                <c:pt idx="316">
                  <c:v>480</c:v>
                </c:pt>
                <c:pt idx="317">
                  <c:v>533</c:v>
                </c:pt>
                <c:pt idx="318">
                  <c:v>583</c:v>
                </c:pt>
                <c:pt idx="319">
                  <c:v>632</c:v>
                </c:pt>
                <c:pt idx="320">
                  <c:v>678</c:v>
                </c:pt>
                <c:pt idx="321">
                  <c:v>721</c:v>
                </c:pt>
                <c:pt idx="322">
                  <c:v>762</c:v>
                </c:pt>
                <c:pt idx="323">
                  <c:v>800</c:v>
                </c:pt>
                <c:pt idx="324">
                  <c:v>835</c:v>
                </c:pt>
                <c:pt idx="325">
                  <c:v>867</c:v>
                </c:pt>
                <c:pt idx="326">
                  <c:v>896</c:v>
                </c:pt>
                <c:pt idx="327">
                  <c:v>921</c:v>
                </c:pt>
                <c:pt idx="328">
                  <c:v>943</c:v>
                </c:pt>
                <c:pt idx="329">
                  <c:v>962</c:v>
                </c:pt>
                <c:pt idx="330">
                  <c:v>977</c:v>
                </c:pt>
                <c:pt idx="331">
                  <c:v>988</c:v>
                </c:pt>
                <c:pt idx="332">
                  <c:v>995</c:v>
                </c:pt>
                <c:pt idx="333">
                  <c:v>999</c:v>
                </c:pt>
                <c:pt idx="334">
                  <c:v>999</c:v>
                </c:pt>
                <c:pt idx="335">
                  <c:v>996</c:v>
                </c:pt>
                <c:pt idx="336">
                  <c:v>988</c:v>
                </c:pt>
                <c:pt idx="337">
                  <c:v>977</c:v>
                </c:pt>
                <c:pt idx="338">
                  <c:v>963</c:v>
                </c:pt>
                <c:pt idx="339">
                  <c:v>945</c:v>
                </c:pt>
                <c:pt idx="340">
                  <c:v>923</c:v>
                </c:pt>
                <c:pt idx="341">
                  <c:v>898</c:v>
                </c:pt>
                <c:pt idx="342">
                  <c:v>869</c:v>
                </c:pt>
                <c:pt idx="343">
                  <c:v>837</c:v>
                </c:pt>
                <c:pt idx="344">
                  <c:v>802</c:v>
                </c:pt>
                <c:pt idx="345">
                  <c:v>765</c:v>
                </c:pt>
                <c:pt idx="346">
                  <c:v>724</c:v>
                </c:pt>
                <c:pt idx="347">
                  <c:v>680</c:v>
                </c:pt>
                <c:pt idx="348">
                  <c:v>634</c:v>
                </c:pt>
                <c:pt idx="349">
                  <c:v>586</c:v>
                </c:pt>
                <c:pt idx="350">
                  <c:v>536</c:v>
                </c:pt>
                <c:pt idx="351">
                  <c:v>483</c:v>
                </c:pt>
                <c:pt idx="352">
                  <c:v>429</c:v>
                </c:pt>
                <c:pt idx="353">
                  <c:v>373</c:v>
                </c:pt>
                <c:pt idx="354">
                  <c:v>316</c:v>
                </c:pt>
                <c:pt idx="355">
                  <c:v>257</c:v>
                </c:pt>
                <c:pt idx="356">
                  <c:v>198</c:v>
                </c:pt>
                <c:pt idx="357">
                  <c:v>137</c:v>
                </c:pt>
                <c:pt idx="358">
                  <c:v>77</c:v>
                </c:pt>
                <c:pt idx="359">
                  <c:v>16</c:v>
                </c:pt>
                <c:pt idx="360">
                  <c:v>-45</c:v>
                </c:pt>
                <c:pt idx="361">
                  <c:v>-106</c:v>
                </c:pt>
                <c:pt idx="362">
                  <c:v>-166</c:v>
                </c:pt>
                <c:pt idx="363">
                  <c:v>-226</c:v>
                </c:pt>
                <c:pt idx="364">
                  <c:v>-285</c:v>
                </c:pt>
                <c:pt idx="365">
                  <c:v>-343</c:v>
                </c:pt>
                <c:pt idx="366">
                  <c:v>-400</c:v>
                </c:pt>
                <c:pt idx="367">
                  <c:v>-455</c:v>
                </c:pt>
                <c:pt idx="368">
                  <c:v>-508</c:v>
                </c:pt>
                <c:pt idx="369">
                  <c:v>-560</c:v>
                </c:pt>
                <c:pt idx="370">
                  <c:v>-610</c:v>
                </c:pt>
                <c:pt idx="371">
                  <c:v>-657</c:v>
                </c:pt>
                <c:pt idx="372">
                  <c:v>-702</c:v>
                </c:pt>
                <c:pt idx="373">
                  <c:v>-744</c:v>
                </c:pt>
                <c:pt idx="374">
                  <c:v>-783</c:v>
                </c:pt>
                <c:pt idx="375">
                  <c:v>-820</c:v>
                </c:pt>
                <c:pt idx="376">
                  <c:v>-853</c:v>
                </c:pt>
                <c:pt idx="377">
                  <c:v>-883</c:v>
                </c:pt>
                <c:pt idx="378">
                  <c:v>-910</c:v>
                </c:pt>
                <c:pt idx="379">
                  <c:v>-934</c:v>
                </c:pt>
                <c:pt idx="380">
                  <c:v>-954</c:v>
                </c:pt>
                <c:pt idx="381">
                  <c:v>-970</c:v>
                </c:pt>
                <c:pt idx="382">
                  <c:v>-983</c:v>
                </c:pt>
                <c:pt idx="383">
                  <c:v>-992</c:v>
                </c:pt>
                <c:pt idx="384">
                  <c:v>-998</c:v>
                </c:pt>
                <c:pt idx="385">
                  <c:v>-1000</c:v>
                </c:pt>
                <c:pt idx="386">
                  <c:v>-998</c:v>
                </c:pt>
                <c:pt idx="387">
                  <c:v>-992</c:v>
                </c:pt>
                <c:pt idx="388">
                  <c:v>-983</c:v>
                </c:pt>
                <c:pt idx="389">
                  <c:v>-970</c:v>
                </c:pt>
                <c:pt idx="390">
                  <c:v>-953</c:v>
                </c:pt>
                <c:pt idx="391">
                  <c:v>-933</c:v>
                </c:pt>
                <c:pt idx="392">
                  <c:v>-910</c:v>
                </c:pt>
                <c:pt idx="393">
                  <c:v>-883</c:v>
                </c:pt>
                <c:pt idx="394">
                  <c:v>-852</c:v>
                </c:pt>
                <c:pt idx="395">
                  <c:v>-819</c:v>
                </c:pt>
                <c:pt idx="396">
                  <c:v>-782</c:v>
                </c:pt>
                <c:pt idx="397">
                  <c:v>-743</c:v>
                </c:pt>
                <c:pt idx="398">
                  <c:v>-701</c:v>
                </c:pt>
                <c:pt idx="399">
                  <c:v>-656</c:v>
                </c:pt>
                <c:pt idx="400">
                  <c:v>-609</c:v>
                </c:pt>
                <c:pt idx="401">
                  <c:v>-559</c:v>
                </c:pt>
                <c:pt idx="402">
                  <c:v>-508</c:v>
                </c:pt>
                <c:pt idx="403">
                  <c:v>-454</c:v>
                </c:pt>
                <c:pt idx="404">
                  <c:v>-399</c:v>
                </c:pt>
                <c:pt idx="405">
                  <c:v>-342</c:v>
                </c:pt>
                <c:pt idx="406">
                  <c:v>-284</c:v>
                </c:pt>
                <c:pt idx="407">
                  <c:v>-225</c:v>
                </c:pt>
                <c:pt idx="408">
                  <c:v>-165</c:v>
                </c:pt>
                <c:pt idx="409">
                  <c:v>-105</c:v>
                </c:pt>
                <c:pt idx="410">
                  <c:v>-44</c:v>
                </c:pt>
                <c:pt idx="411">
                  <c:v>17</c:v>
                </c:pt>
                <c:pt idx="412">
                  <c:v>78</c:v>
                </c:pt>
                <c:pt idx="413">
                  <c:v>139</c:v>
                </c:pt>
                <c:pt idx="414">
                  <c:v>199</c:v>
                </c:pt>
                <c:pt idx="415">
                  <c:v>258</c:v>
                </c:pt>
                <c:pt idx="416">
                  <c:v>317</c:v>
                </c:pt>
                <c:pt idx="417">
                  <c:v>374</c:v>
                </c:pt>
                <c:pt idx="418">
                  <c:v>430</c:v>
                </c:pt>
                <c:pt idx="419">
                  <c:v>484</c:v>
                </c:pt>
                <c:pt idx="420">
                  <c:v>536</c:v>
                </c:pt>
                <c:pt idx="421">
                  <c:v>587</c:v>
                </c:pt>
                <c:pt idx="422">
                  <c:v>635</c:v>
                </c:pt>
                <c:pt idx="423">
                  <c:v>681</c:v>
                </c:pt>
                <c:pt idx="424">
                  <c:v>725</c:v>
                </c:pt>
                <c:pt idx="425">
                  <c:v>765</c:v>
                </c:pt>
                <c:pt idx="426">
                  <c:v>803</c:v>
                </c:pt>
                <c:pt idx="427">
                  <c:v>838</c:v>
                </c:pt>
                <c:pt idx="428">
                  <c:v>870</c:v>
                </c:pt>
                <c:pt idx="429">
                  <c:v>898</c:v>
                </c:pt>
                <c:pt idx="430">
                  <c:v>923</c:v>
                </c:pt>
                <c:pt idx="431">
                  <c:v>945</c:v>
                </c:pt>
                <c:pt idx="432">
                  <c:v>963</c:v>
                </c:pt>
                <c:pt idx="433">
                  <c:v>978</c:v>
                </c:pt>
                <c:pt idx="434">
                  <c:v>989</c:v>
                </c:pt>
                <c:pt idx="435">
                  <c:v>996</c:v>
                </c:pt>
                <c:pt idx="436">
                  <c:v>999</c:v>
                </c:pt>
                <c:pt idx="437">
                  <c:v>999</c:v>
                </c:pt>
                <c:pt idx="438">
                  <c:v>995</c:v>
                </c:pt>
                <c:pt idx="439">
                  <c:v>988</c:v>
                </c:pt>
                <c:pt idx="440">
                  <c:v>976</c:v>
                </c:pt>
                <c:pt idx="441">
                  <c:v>961</c:v>
                </c:pt>
                <c:pt idx="442">
                  <c:v>943</c:v>
                </c:pt>
                <c:pt idx="443">
                  <c:v>921</c:v>
                </c:pt>
                <c:pt idx="444">
                  <c:v>896</c:v>
                </c:pt>
                <c:pt idx="445">
                  <c:v>867</c:v>
                </c:pt>
                <c:pt idx="446">
                  <c:v>835</c:v>
                </c:pt>
                <c:pt idx="447">
                  <c:v>800</c:v>
                </c:pt>
                <c:pt idx="448">
                  <c:v>762</c:v>
                </c:pt>
                <c:pt idx="449">
                  <c:v>721</c:v>
                </c:pt>
                <c:pt idx="450">
                  <c:v>677</c:v>
                </c:pt>
                <c:pt idx="451">
                  <c:v>631</c:v>
                </c:pt>
                <c:pt idx="452">
                  <c:v>582</c:v>
                </c:pt>
                <c:pt idx="453">
                  <c:v>532</c:v>
                </c:pt>
                <c:pt idx="454">
                  <c:v>479</c:v>
                </c:pt>
                <c:pt idx="455">
                  <c:v>424</c:v>
                </c:pt>
                <c:pt idx="456">
                  <c:v>368</c:v>
                </c:pt>
                <c:pt idx="457">
                  <c:v>311</c:v>
                </c:pt>
                <c:pt idx="458">
                  <c:v>253</c:v>
                </c:pt>
                <c:pt idx="459">
                  <c:v>193</c:v>
                </c:pt>
                <c:pt idx="460">
                  <c:v>133</c:v>
                </c:pt>
                <c:pt idx="461">
                  <c:v>72</c:v>
                </c:pt>
                <c:pt idx="462">
                  <c:v>11</c:v>
                </c:pt>
                <c:pt idx="463">
                  <c:v>-50</c:v>
                </c:pt>
                <c:pt idx="464">
                  <c:v>-111</c:v>
                </c:pt>
                <c:pt idx="465">
                  <c:v>-171</c:v>
                </c:pt>
                <c:pt idx="466">
                  <c:v>-231</c:v>
                </c:pt>
                <c:pt idx="467">
                  <c:v>-290</c:v>
                </c:pt>
                <c:pt idx="468">
                  <c:v>-348</c:v>
                </c:pt>
                <c:pt idx="469">
                  <c:v>-404</c:v>
                </c:pt>
                <c:pt idx="470">
                  <c:v>-459</c:v>
                </c:pt>
                <c:pt idx="471">
                  <c:v>-512</c:v>
                </c:pt>
                <c:pt idx="472">
                  <c:v>-564</c:v>
                </c:pt>
                <c:pt idx="473">
                  <c:v>-613</c:v>
                </c:pt>
                <c:pt idx="474">
                  <c:v>-660</c:v>
                </c:pt>
                <c:pt idx="475">
                  <c:v>-705</c:v>
                </c:pt>
                <c:pt idx="476">
                  <c:v>-747</c:v>
                </c:pt>
                <c:pt idx="477">
                  <c:v>-786</c:v>
                </c:pt>
                <c:pt idx="478">
                  <c:v>-822</c:v>
                </c:pt>
                <c:pt idx="479">
                  <c:v>-855</c:v>
                </c:pt>
                <c:pt idx="480">
                  <c:v>-885</c:v>
                </c:pt>
                <c:pt idx="481">
                  <c:v>-912</c:v>
                </c:pt>
                <c:pt idx="482">
                  <c:v>-935</c:v>
                </c:pt>
                <c:pt idx="483">
                  <c:v>-955</c:v>
                </c:pt>
                <c:pt idx="484">
                  <c:v>-971</c:v>
                </c:pt>
                <c:pt idx="485">
                  <c:v>-984</c:v>
                </c:pt>
                <c:pt idx="486">
                  <c:v>-993</c:v>
                </c:pt>
                <c:pt idx="487">
                  <c:v>-998</c:v>
                </c:pt>
                <c:pt idx="488">
                  <c:v>-1000</c:v>
                </c:pt>
                <c:pt idx="489">
                  <c:v>-997</c:v>
                </c:pt>
                <c:pt idx="490">
                  <c:v>-991</c:v>
                </c:pt>
                <c:pt idx="491">
                  <c:v>-982</c:v>
                </c:pt>
                <c:pt idx="492">
                  <c:v>-969</c:v>
                </c:pt>
                <c:pt idx="493">
                  <c:v>-952</c:v>
                </c:pt>
                <c:pt idx="494">
                  <c:v>-931</c:v>
                </c:pt>
                <c:pt idx="495">
                  <c:v>-908</c:v>
                </c:pt>
                <c:pt idx="496">
                  <c:v>-880</c:v>
                </c:pt>
                <c:pt idx="497">
                  <c:v>-850</c:v>
                </c:pt>
                <c:pt idx="498">
                  <c:v>-816</c:v>
                </c:pt>
                <c:pt idx="499">
                  <c:v>-779</c:v>
                </c:pt>
                <c:pt idx="500">
                  <c:v>-740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C7-410C-BBA4-A2D916A3F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004672"/>
        <c:axId val="1813122384"/>
      </c:lineChart>
      <c:catAx>
        <c:axId val="330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13122384"/>
        <c:crosses val="autoZero"/>
        <c:auto val="1"/>
        <c:lblAlgn val="ctr"/>
        <c:lblOffset val="100"/>
        <c:noMultiLvlLbl val="0"/>
      </c:catAx>
      <c:valAx>
        <c:axId val="181312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00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'Allpass-Sim'!$B$2:$B$4</c:f>
              <c:strCache>
                <c:ptCount val="3"/>
                <c:pt idx="1">
                  <c:v>Samples</c:v>
                </c:pt>
                <c:pt idx="2">
                  <c:v>x[n]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'Allpass-Sim'!$B$5:$B$52</c:f>
              <c:numCache>
                <c:formatCode>General</c:formatCode>
                <c:ptCount val="48"/>
                <c:pt idx="0">
                  <c:v>0</c:v>
                </c:pt>
                <c:pt idx="1">
                  <c:v>0.1304603990903013</c:v>
                </c:pt>
                <c:pt idx="2">
                  <c:v>0.25869084405380199</c:v>
                </c:pt>
                <c:pt idx="3">
                  <c:v>0.38249949727600968</c:v>
                </c:pt>
                <c:pt idx="4">
                  <c:v>0.4997701026431024</c:v>
                </c:pt>
                <c:pt idx="5">
                  <c:v>0.60849815861887291</c:v>
                </c:pt>
                <c:pt idx="6">
                  <c:v>0.70682518110536596</c:v>
                </c:pt>
                <c:pt idx="7">
                  <c:v>0.79307047043357348</c:v>
                </c:pt>
                <c:pt idx="8">
                  <c:v>0.86575983949234436</c:v>
                </c:pt>
                <c:pt idx="9">
                  <c:v>0.92365081194681065</c:v>
                </c:pt>
                <c:pt idx="10">
                  <c:v>0.965753859834238</c:v>
                </c:pt>
                <c:pt idx="11">
                  <c:v>0.99134931752396649</c:v>
                </c:pt>
                <c:pt idx="12">
                  <c:v>0.99999968293183461</c:v>
                </c:pt>
                <c:pt idx="13">
                  <c:v>0.99155709572494355</c:v>
                </c:pt>
                <c:pt idx="14">
                  <c:v>0.96616586469212229</c:v>
                </c:pt>
                <c:pt idx="15">
                  <c:v>0.92426000107985662</c:v>
                </c:pt>
                <c:pt idx="16">
                  <c:v>0.86655580005626576</c:v>
                </c:pt>
                <c:pt idx="17">
                  <c:v>0.79403959710785399</c:v>
                </c:pt>
                <c:pt idx="18">
                  <c:v>0.70795090864843213</c:v>
                </c:pt>
                <c:pt idx="19">
                  <c:v>0.60976124501707263</c:v>
                </c:pt>
                <c:pt idx="20">
                  <c:v>0.5011489580136379</c:v>
                </c:pt>
                <c:pt idx="21">
                  <c:v>0.38397055290189713</c:v>
                </c:pt>
                <c:pt idx="22">
                  <c:v>0.26022895524296158</c:v>
                </c:pt>
                <c:pt idx="23">
                  <c:v>0.13203927497272436</c:v>
                </c:pt>
                <c:pt idx="24">
                  <c:v>1.5926529164868282E-3</c:v>
                </c:pt>
                <c:pt idx="25">
                  <c:v>-0.12888119228921557</c:v>
                </c:pt>
                <c:pt idx="26">
                  <c:v>-0.257152076683696</c:v>
                </c:pt>
                <c:pt idx="27">
                  <c:v>-0.38102747142296522</c:v>
                </c:pt>
                <c:pt idx="28">
                  <c:v>-0.49838997958325121</c:v>
                </c:pt>
                <c:pt idx="29">
                  <c:v>-0.60723352873775882</c:v>
                </c:pt>
                <c:pt idx="30">
                  <c:v>-0.7056976606684765</c:v>
                </c:pt>
                <c:pt idx="31">
                  <c:v>-0.79209933210041916</c:v>
                </c:pt>
                <c:pt idx="32">
                  <c:v>-0.86496168288969943</c:v>
                </c:pt>
                <c:pt idx="33">
                  <c:v>-0.92303927993198898</c:v>
                </c:pt>
                <c:pt idx="34">
                  <c:v>-0.96533940529830553</c:v>
                </c:pt>
                <c:pt idx="35">
                  <c:v>-0.9911390247209132</c:v>
                </c:pt>
                <c:pt idx="36">
                  <c:v>-0.99999714638771797</c:v>
                </c:pt>
                <c:pt idx="37">
                  <c:v>-0.99176235879680563</c:v>
                </c:pt>
                <c:pt idx="38">
                  <c:v>-0.96657541882688969</c:v>
                </c:pt>
                <c:pt idx="39">
                  <c:v>-0.92486684578589085</c:v>
                </c:pt>
                <c:pt idx="40">
                  <c:v>-0.8673495625624732</c:v>
                </c:pt>
                <c:pt idx="41">
                  <c:v>-0.79500670966502685</c:v>
                </c:pt>
                <c:pt idx="42">
                  <c:v>-0.7090748404422168</c:v>
                </c:pt>
                <c:pt idx="43">
                  <c:v>-0.61102278472848404</c:v>
                </c:pt>
                <c:pt idx="44">
                  <c:v>-0.50252654219732995</c:v>
                </c:pt>
                <c:pt idx="45">
                  <c:v>-0.38544063456922883</c:v>
                </c:pt>
                <c:pt idx="46">
                  <c:v>-0.2617664063496864</c:v>
                </c:pt>
                <c:pt idx="47">
                  <c:v>-0.13361781593159514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68-461D-A109-54FA85743698}"/>
            </c:ext>
          </c:extLst>
        </c:ser>
        <c:ser>
          <c:idx val="4"/>
          <c:order val="1"/>
          <c:tx>
            <c:strRef>
              <c:f>'Allpass-Sim'!$F$2:$F$4</c:f>
              <c:strCache>
                <c:ptCount val="3"/>
                <c:pt idx="0">
                  <c:v>Frequ</c:v>
                </c:pt>
                <c:pt idx="1">
                  <c:v>y[n]=ky[n-1]-kx[n-1]+x[n-1]</c:v>
                </c:pt>
                <c:pt idx="2">
                  <c:v>y[n]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'Allpass-Sim'!$F$5:$F$52</c:f>
              <c:numCache>
                <c:formatCode>General</c:formatCode>
                <c:ptCount val="48"/>
                <c:pt idx="0">
                  <c:v>0</c:v>
                </c:pt>
                <c:pt idx="1">
                  <c:v>-9.1322279363210898E-2</c:v>
                </c:pt>
                <c:pt idx="2">
                  <c:v>-0.1145487873016077</c:v>
                </c:pt>
                <c:pt idx="3">
                  <c:v>-8.924295515053017E-2</c:v>
                </c:pt>
                <c:pt idx="4">
                  <c:v>-2.9809643179533094E-2</c:v>
                </c:pt>
                <c:pt idx="5">
                  <c:v>5.295464138421821E-2</c:v>
                </c:pt>
                <c:pt idx="6">
                  <c:v>0.15078878081406952</c:v>
                </c:pt>
                <c:pt idx="7">
                  <c:v>0.25722799837171328</c:v>
                </c:pt>
                <c:pt idx="8">
                  <c:v>0.36709818164913177</c:v>
                </c:pt>
                <c:pt idx="9">
                  <c:v>0.4761729982839692</c:v>
                </c:pt>
                <c:pt idx="10">
                  <c:v>0.58094420886162257</c:v>
                </c:pt>
                <c:pt idx="11">
                  <c:v>0.67847028377059726</c:v>
                </c:pt>
                <c:pt idx="12">
                  <c:v>0.76627873811110037</c:v>
                </c:pt>
                <c:pt idx="13">
                  <c:v>0.84230483260214439</c:v>
                </c:pt>
                <c:pt idx="14">
                  <c:v>0.90485437326195894</c:v>
                </c:pt>
                <c:pt idx="15">
                  <c:v>0.95258192521959384</c:v>
                </c:pt>
                <c:pt idx="16">
                  <c:v>0.9844782886941863</c:v>
                </c:pt>
                <c:pt idx="17">
                  <c:v>0.99986288416669833</c:v>
                </c:pt>
                <c:pt idx="18">
                  <c:v>0.99837797997064026</c:v>
                </c:pt>
                <c:pt idx="19">
                  <c:v>0.97998262311592943</c:v>
                </c:pt>
                <c:pt idx="20">
                  <c:v>0.94494481058867663</c:v>
                </c:pt>
                <c:pt idx="21">
                  <c:v>0.89383093839438355</c:v>
                </c:pt>
                <c:pt idx="22">
                  <c:v>0.82749194110789248</c:v>
                </c:pt>
                <c:pt idx="23">
                  <c:v>0.74704582153757926</c:v>
                </c:pt>
                <c:pt idx="24">
                  <c:v>0.65385649300748905</c:v>
                </c:pt>
                <c:pt idx="25">
                  <c:v>0.54950903262418005</c:v>
                </c:pt>
                <c:pt idx="26">
                  <c:v>0.43578158422629765</c:v>
                </c:pt>
                <c:pt idx="27">
                  <c:v>0.31461426227078793</c:v>
                </c:pt>
                <c:pt idx="28">
                  <c:v>0.18807549787486216</c:v>
                </c:pt>
                <c:pt idx="29">
                  <c:v>5.8326339045583431E-2</c:v>
                </c:pt>
                <c:pt idx="30">
                  <c:v>-7.2416728937916883E-2</c:v>
                </c:pt>
                <c:pt idx="31">
                  <c:v>-0.20191983845472491</c:v>
                </c:pt>
                <c:pt idx="32">
                  <c:v>-0.32797004099593707</c:v>
                </c:pt>
                <c:pt idx="33">
                  <c:v>-0.44841321563446312</c:v>
                </c:pt>
                <c:pt idx="34">
                  <c:v>-0.56119094716729934</c:v>
                </c:pt>
                <c:pt idx="35">
                  <c:v>-0.66437575101077584</c:v>
                </c:pt>
                <c:pt idx="36">
                  <c:v>-0.75620404795705376</c:v>
                </c:pt>
                <c:pt idx="37">
                  <c:v>-0.83510632879989166</c:v>
                </c:pt>
                <c:pt idx="38">
                  <c:v>-0.89973399577790703</c:v>
                </c:pt>
                <c:pt idx="39">
                  <c:v>-0.94898242382130105</c:v>
                </c:pt>
                <c:pt idx="40">
                  <c:v>-0.98200984866707042</c:v>
                </c:pt>
                <c:pt idx="41">
                  <c:v>-0.99825175986390369</c:v>
                </c:pt>
                <c:pt idx="42">
                  <c:v>-0.99743055326020769</c:v>
                </c:pt>
                <c:pt idx="43">
                  <c:v>-0.97956027841442328</c:v>
                </c:pt>
                <c:pt idx="44">
                  <c:v>-0.94494640008044928</c:v>
                </c:pt>
                <c:pt idx="45">
                  <c:v>-0.89418057805518425</c:v>
                </c:pt>
                <c:pt idx="46">
                  <c:v>-0.82813055476307729</c:v>
                </c:pt>
                <c:pt idx="47">
                  <c:v>-0.74792532353172381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68-461D-A109-54FA85743698}"/>
            </c:ext>
          </c:extLst>
        </c:ser>
        <c:ser>
          <c:idx val="0"/>
          <c:order val="2"/>
          <c:tx>
            <c:v>Summe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'Allpass-Sim'!$G$5:$G$52</c:f>
              <c:numCache>
                <c:formatCode>General</c:formatCode>
                <c:ptCount val="48"/>
                <c:pt idx="0">
                  <c:v>0</c:v>
                </c:pt>
                <c:pt idx="1">
                  <c:v>1.95690598635452E-2</c:v>
                </c:pt>
                <c:pt idx="2">
                  <c:v>7.2071028376097149E-2</c:v>
                </c:pt>
                <c:pt idx="3">
                  <c:v>0.14662827106273976</c:v>
                </c:pt>
                <c:pt idx="4">
                  <c:v>0.23498022973178465</c:v>
                </c:pt>
                <c:pt idx="5">
                  <c:v>0.33072640000154557</c:v>
                </c:pt>
                <c:pt idx="6">
                  <c:v>0.42880698095971775</c:v>
                </c:pt>
                <c:pt idx="7">
                  <c:v>0.52514923440264338</c:v>
                </c:pt>
                <c:pt idx="8">
                  <c:v>0.61642901057073807</c:v>
                </c:pt>
                <c:pt idx="9">
                  <c:v>0.69991190511538992</c:v>
                </c:pt>
                <c:pt idx="10">
                  <c:v>0.77334903434793034</c:v>
                </c:pt>
                <c:pt idx="11">
                  <c:v>0.83490980064728193</c:v>
                </c:pt>
                <c:pt idx="12">
                  <c:v>0.88313921052146749</c:v>
                </c:pt>
                <c:pt idx="13">
                  <c:v>0.91693096416354392</c:v>
                </c:pt>
                <c:pt idx="14">
                  <c:v>0.93551011897704062</c:v>
                </c:pt>
                <c:pt idx="15">
                  <c:v>0.93842096314972523</c:v>
                </c:pt>
                <c:pt idx="16">
                  <c:v>0.92551704437522608</c:v>
                </c:pt>
                <c:pt idx="17">
                  <c:v>0.89695124063727616</c:v>
                </c:pt>
                <c:pt idx="18">
                  <c:v>0.8531644443095362</c:v>
                </c:pt>
                <c:pt idx="19">
                  <c:v>0.79487193406650103</c:v>
                </c:pt>
                <c:pt idx="20">
                  <c:v>0.72304688430115727</c:v>
                </c:pt>
                <c:pt idx="21">
                  <c:v>0.63890074564814037</c:v>
                </c:pt>
                <c:pt idx="22">
                  <c:v>0.543860448175427</c:v>
                </c:pt>
                <c:pt idx="23">
                  <c:v>0.43954254825515182</c:v>
                </c:pt>
                <c:pt idx="24">
                  <c:v>0.32772457296198793</c:v>
                </c:pt>
                <c:pt idx="25">
                  <c:v>0.21031392016748224</c:v>
                </c:pt>
                <c:pt idx="26">
                  <c:v>8.9314753771300825E-2</c:v>
                </c:pt>
                <c:pt idx="27">
                  <c:v>-3.320660457608865E-2</c:v>
                </c:pt>
                <c:pt idx="28">
                  <c:v>-0.15515724085419452</c:v>
                </c:pt>
                <c:pt idx="29">
                  <c:v>-0.27445359484608767</c:v>
                </c:pt>
                <c:pt idx="30">
                  <c:v>-0.38905719480319667</c:v>
                </c:pt>
                <c:pt idx="31">
                  <c:v>-0.49700958527757205</c:v>
                </c:pt>
                <c:pt idx="32">
                  <c:v>-0.59646586194281825</c:v>
                </c:pt>
                <c:pt idx="33">
                  <c:v>-0.685726247783226</c:v>
                </c:pt>
                <c:pt idx="34">
                  <c:v>-0.76326517623280243</c:v>
                </c:pt>
                <c:pt idx="35">
                  <c:v>-0.82775738786584452</c:v>
                </c:pt>
                <c:pt idx="36">
                  <c:v>-0.87810059717238587</c:v>
                </c:pt>
                <c:pt idx="37">
                  <c:v>-0.91343434379834865</c:v>
                </c:pt>
                <c:pt idx="38">
                  <c:v>-0.93315470730239836</c:v>
                </c:pt>
                <c:pt idx="39">
                  <c:v>-0.936924634803596</c:v>
                </c:pt>
                <c:pt idx="40">
                  <c:v>-0.92467970561477175</c:v>
                </c:pt>
                <c:pt idx="41">
                  <c:v>-0.89662923476446532</c:v>
                </c:pt>
                <c:pt idx="42">
                  <c:v>-0.85325269685121219</c:v>
                </c:pt>
                <c:pt idx="43">
                  <c:v>-0.79529153157145371</c:v>
                </c:pt>
                <c:pt idx="44">
                  <c:v>-0.72373647113888961</c:v>
                </c:pt>
                <c:pt idx="45">
                  <c:v>-0.63981060631220654</c:v>
                </c:pt>
                <c:pt idx="46">
                  <c:v>-0.54494848055638179</c:v>
                </c:pt>
                <c:pt idx="47">
                  <c:v>-0.44077156973165948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68-461D-A109-54FA85743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267904"/>
        <c:axId val="1426275392"/>
      </c:lineChart>
      <c:catAx>
        <c:axId val="142626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6275392"/>
        <c:crosses val="autoZero"/>
        <c:auto val="1"/>
        <c:lblAlgn val="ctr"/>
        <c:lblOffset val="100"/>
        <c:noMultiLvlLbl val="0"/>
      </c:catAx>
      <c:valAx>
        <c:axId val="142627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626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'Lowpass-Sim'!$B$1:$B$4</c:f>
              <c:strCache>
                <c:ptCount val="4"/>
                <c:pt idx="2">
                  <c:v>Samples</c:v>
                </c:pt>
                <c:pt idx="3">
                  <c:v>x[n]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'Lowpass-Sim'!$B$5:$B$127</c:f>
              <c:numCache>
                <c:formatCode>General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A1-4827-951A-312E24C67612}"/>
            </c:ext>
          </c:extLst>
        </c:ser>
        <c:ser>
          <c:idx val="1"/>
          <c:order val="1"/>
          <c:tx>
            <c:strRef>
              <c:f>'Lowpass-Sim'!$E$1:$E$4</c:f>
              <c:strCache>
                <c:ptCount val="4"/>
                <c:pt idx="0">
                  <c:v>y[n]=kf(x[n] - y[n-1]) + y[n-1]</c:v>
                </c:pt>
                <c:pt idx="2">
                  <c:v>Lowpass</c:v>
                </c:pt>
                <c:pt idx="3">
                  <c:v>y[n]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'Lowpass-Sim'!$E$5:$E$127</c:f>
              <c:numCache>
                <c:formatCode>0.000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6.25E-2</c:v>
                </c:pt>
                <c:pt idx="11">
                  <c:v>0.12109375</c:v>
                </c:pt>
                <c:pt idx="12">
                  <c:v>0.176025390625</c:v>
                </c:pt>
                <c:pt idx="13">
                  <c:v>0.2275238037109375</c:v>
                </c:pt>
                <c:pt idx="14">
                  <c:v>0.27580356597900391</c:v>
                </c:pt>
                <c:pt idx="15">
                  <c:v>0.32106584310531616</c:v>
                </c:pt>
                <c:pt idx="16">
                  <c:v>0.3634992279112339</c:v>
                </c:pt>
                <c:pt idx="17">
                  <c:v>0.40328052616678178</c:v>
                </c:pt>
                <c:pt idx="18">
                  <c:v>0.44057549328135792</c:v>
                </c:pt>
                <c:pt idx="19">
                  <c:v>0.47553952495127305</c:v>
                </c:pt>
                <c:pt idx="20">
                  <c:v>0.50831830464181849</c:v>
                </c:pt>
                <c:pt idx="21">
                  <c:v>0.53904841060170483</c:v>
                </c:pt>
                <c:pt idx="22">
                  <c:v>0.56785788493909828</c:v>
                </c:pt>
                <c:pt idx="23">
                  <c:v>0.59486676713040465</c:v>
                </c:pt>
                <c:pt idx="24">
                  <c:v>0.62018759418475433</c:v>
                </c:pt>
                <c:pt idx="25">
                  <c:v>0.64392586954820719</c:v>
                </c:pt>
                <c:pt idx="26">
                  <c:v>0.66618050270144424</c:v>
                </c:pt>
                <c:pt idx="27">
                  <c:v>0.68704422128260401</c:v>
                </c:pt>
                <c:pt idx="28">
                  <c:v>0.7066039574524412</c:v>
                </c:pt>
                <c:pt idx="29">
                  <c:v>0.72494121011166368</c:v>
                </c:pt>
                <c:pt idx="30">
                  <c:v>0.74213238447968466</c:v>
                </c:pt>
                <c:pt idx="31">
                  <c:v>0.75824911044970433</c:v>
                </c:pt>
                <c:pt idx="32">
                  <c:v>0.77335854104659785</c:v>
                </c:pt>
                <c:pt idx="33">
                  <c:v>0.78752363223118549</c:v>
                </c:pt>
                <c:pt idx="34">
                  <c:v>0.80080340521673643</c:v>
                </c:pt>
                <c:pt idx="35">
                  <c:v>0.81325319239069038</c:v>
                </c:pt>
                <c:pt idx="36">
                  <c:v>0.82492486786627228</c:v>
                </c:pt>
                <c:pt idx="37">
                  <c:v>0.83586706362463026</c:v>
                </c:pt>
                <c:pt idx="38">
                  <c:v>0.84612537214809092</c:v>
                </c:pt>
                <c:pt idx="39">
                  <c:v>0.85574253638883524</c:v>
                </c:pt>
                <c:pt idx="40">
                  <c:v>0.86475862786453306</c:v>
                </c:pt>
                <c:pt idx="41">
                  <c:v>0.87321121362299969</c:v>
                </c:pt>
                <c:pt idx="42">
                  <c:v>0.88113551277156221</c:v>
                </c:pt>
                <c:pt idx="43">
                  <c:v>0.88856454322333955</c:v>
                </c:pt>
                <c:pt idx="44">
                  <c:v>0.89552925927188087</c:v>
                </c:pt>
                <c:pt idx="45">
                  <c:v>0.90205868056738836</c:v>
                </c:pt>
                <c:pt idx="46">
                  <c:v>0.90818001303192664</c:v>
                </c:pt>
                <c:pt idx="47">
                  <c:v>0.91391876221743118</c:v>
                </c:pt>
                <c:pt idx="48">
                  <c:v>0.91929883957884173</c:v>
                </c:pt>
                <c:pt idx="49">
                  <c:v>0.92434266210516414</c:v>
                </c:pt>
                <c:pt idx="50">
                  <c:v>0.92907124572359134</c:v>
                </c:pt>
                <c:pt idx="51">
                  <c:v>0.93350429286586689</c:v>
                </c:pt>
                <c:pt idx="52">
                  <c:v>0.93766027456175016</c:v>
                </c:pt>
                <c:pt idx="53">
                  <c:v>0.94155650740164076</c:v>
                </c:pt>
                <c:pt idx="54">
                  <c:v>0.9452092256890382</c:v>
                </c:pt>
                <c:pt idx="55">
                  <c:v>0.94863364908347336</c:v>
                </c:pt>
                <c:pt idx="56">
                  <c:v>0.95184404601575623</c:v>
                </c:pt>
                <c:pt idx="57">
                  <c:v>0.95485379313977148</c:v>
                </c:pt>
                <c:pt idx="58">
                  <c:v>0.95767543106853581</c:v>
                </c:pt>
                <c:pt idx="59">
                  <c:v>0.96032071662675234</c:v>
                </c:pt>
                <c:pt idx="60">
                  <c:v>0.96280067183758034</c:v>
                </c:pt>
                <c:pt idx="61">
                  <c:v>0.96512562984773154</c:v>
                </c:pt>
                <c:pt idx="62">
                  <c:v>0.9673052779822483</c:v>
                </c:pt>
                <c:pt idx="63">
                  <c:v>0.96934869810835778</c:v>
                </c:pt>
                <c:pt idx="64">
                  <c:v>0.97126440447658546</c:v>
                </c:pt>
                <c:pt idx="65">
                  <c:v>0.97306037919679889</c:v>
                </c:pt>
                <c:pt idx="66">
                  <c:v>0.97474410549699897</c:v>
                </c:pt>
                <c:pt idx="67">
                  <c:v>0.97632259890343653</c:v>
                </c:pt>
                <c:pt idx="68">
                  <c:v>0.97780243647197174</c:v>
                </c:pt>
                <c:pt idx="69">
                  <c:v>0.97918978419247349</c:v>
                </c:pt>
                <c:pt idx="70">
                  <c:v>0.98049042268044384</c:v>
                </c:pt>
                <c:pt idx="71">
                  <c:v>0.85670977126291614</c:v>
                </c:pt>
                <c:pt idx="72">
                  <c:v>0.74066541055898383</c:v>
                </c:pt>
                <c:pt idx="73">
                  <c:v>0.63187382239904732</c:v>
                </c:pt>
                <c:pt idx="74">
                  <c:v>0.52988170849910687</c:v>
                </c:pt>
                <c:pt idx="75">
                  <c:v>0.43426410171791269</c:v>
                </c:pt>
                <c:pt idx="76">
                  <c:v>0.34462259536054313</c:v>
                </c:pt>
                <c:pt idx="77">
                  <c:v>0.26058368315050917</c:v>
                </c:pt>
                <c:pt idx="78">
                  <c:v>0.18179720295360235</c:v>
                </c:pt>
                <c:pt idx="79">
                  <c:v>0.10793487776900221</c:v>
                </c:pt>
                <c:pt idx="80">
                  <c:v>3.8688947908439575E-2</c:v>
                </c:pt>
                <c:pt idx="81">
                  <c:v>-2.6229111335837899E-2</c:v>
                </c:pt>
                <c:pt idx="82">
                  <c:v>-8.7089791877348027E-2</c:v>
                </c:pt>
                <c:pt idx="83">
                  <c:v>-0.14414667988501378</c:v>
                </c:pt>
                <c:pt idx="84">
                  <c:v>-0.19763751239220043</c:v>
                </c:pt>
                <c:pt idx="85">
                  <c:v>-0.24778516786768789</c:v>
                </c:pt>
                <c:pt idx="86">
                  <c:v>-0.29479859487595739</c:v>
                </c:pt>
                <c:pt idx="87">
                  <c:v>-0.33887368269621004</c:v>
                </c:pt>
                <c:pt idx="88">
                  <c:v>-0.38019407752769691</c:v>
                </c:pt>
                <c:pt idx="89">
                  <c:v>-0.41893194768221587</c:v>
                </c:pt>
                <c:pt idx="90">
                  <c:v>-0.45524870095207737</c:v>
                </c:pt>
                <c:pt idx="91">
                  <c:v>-0.4892956571425725</c:v>
                </c:pt>
                <c:pt idx="92">
                  <c:v>-0.52121467857116177</c:v>
                </c:pt>
                <c:pt idx="93">
                  <c:v>-0.55113876116046412</c:v>
                </c:pt>
                <c:pt idx="94">
                  <c:v>-0.5791925885879351</c:v>
                </c:pt>
                <c:pt idx="95">
                  <c:v>-0.60549305180118917</c:v>
                </c:pt>
                <c:pt idx="96">
                  <c:v>-0.6301497360636148</c:v>
                </c:pt>
                <c:pt idx="97">
                  <c:v>-0.65326537755963887</c:v>
                </c:pt>
                <c:pt idx="98">
                  <c:v>-0.6749362914621615</c:v>
                </c:pt>
                <c:pt idx="99">
                  <c:v>-0.69525277324577639</c:v>
                </c:pt>
                <c:pt idx="100">
                  <c:v>-0.71429947491791534</c:v>
                </c:pt>
                <c:pt idx="101">
                  <c:v>-0.73215575773554564</c:v>
                </c:pt>
                <c:pt idx="102">
                  <c:v>-0.74889602287707402</c:v>
                </c:pt>
                <c:pt idx="103">
                  <c:v>-0.76459002144725685</c:v>
                </c:pt>
                <c:pt idx="104">
                  <c:v>-0.77930314510680332</c:v>
                </c:pt>
                <c:pt idx="105">
                  <c:v>-0.6680966985376281</c:v>
                </c:pt>
                <c:pt idx="106">
                  <c:v>-0.56384065487902635</c:v>
                </c:pt>
                <c:pt idx="107">
                  <c:v>-0.46610061394908719</c:v>
                </c:pt>
                <c:pt idx="108">
                  <c:v>-0.37446932557726925</c:v>
                </c:pt>
                <c:pt idx="109">
                  <c:v>-0.28856499272868991</c:v>
                </c:pt>
                <c:pt idx="110">
                  <c:v>-0.20802968068314678</c:v>
                </c:pt>
                <c:pt idx="111">
                  <c:v>-0.13252782564045013</c:v>
                </c:pt>
                <c:pt idx="112">
                  <c:v>-6.1744836537921996E-2</c:v>
                </c:pt>
                <c:pt idx="113">
                  <c:v>4.6142157456981331E-3</c:v>
                </c:pt>
                <c:pt idx="114">
                  <c:v>6.6825827261592002E-2</c:v>
                </c:pt>
                <c:pt idx="115">
                  <c:v>0.12514921305774251</c:v>
                </c:pt>
                <c:pt idx="116">
                  <c:v>0.17982738724163361</c:v>
                </c:pt>
                <c:pt idx="117">
                  <c:v>0.23108817553903149</c:v>
                </c:pt>
                <c:pt idx="118">
                  <c:v>0.279145164567842</c:v>
                </c:pt>
                <c:pt idx="119">
                  <c:v>0.32419859178235189</c:v>
                </c:pt>
                <c:pt idx="120">
                  <c:v>0.36643617979595489</c:v>
                </c:pt>
                <c:pt idx="121">
                  <c:v>0.40603391855870768</c:v>
                </c:pt>
                <c:pt idx="122">
                  <c:v>0.44315679864878843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A1-4827-951A-312E24C67612}"/>
            </c:ext>
          </c:extLst>
        </c:ser>
        <c:ser>
          <c:idx val="2"/>
          <c:order val="2"/>
          <c:tx>
            <c:strRef>
              <c:f>'Lowpass-Sim'!$F$4</c:f>
              <c:strCache>
                <c:ptCount val="1"/>
                <c:pt idx="0">
                  <c:v>x[n]-y[n-1]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'Lowpass-Sim'!$F$6:$F$127</c:f>
              <c:numCache>
                <c:formatCode>0.000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0.9375</c:v>
                </c:pt>
                <c:pt idx="11">
                  <c:v>0.87890625</c:v>
                </c:pt>
                <c:pt idx="12">
                  <c:v>0.823974609375</c:v>
                </c:pt>
                <c:pt idx="13">
                  <c:v>0.7724761962890625</c:v>
                </c:pt>
                <c:pt idx="14">
                  <c:v>0.72419643402099609</c:v>
                </c:pt>
                <c:pt idx="15">
                  <c:v>0.67893415689468384</c:v>
                </c:pt>
                <c:pt idx="16">
                  <c:v>0.6365007720887661</c:v>
                </c:pt>
                <c:pt idx="17">
                  <c:v>0.59671947383321822</c:v>
                </c:pt>
                <c:pt idx="18">
                  <c:v>0.55942450671864208</c:v>
                </c:pt>
                <c:pt idx="19">
                  <c:v>0.52446047504872695</c:v>
                </c:pt>
                <c:pt idx="20">
                  <c:v>0.49168169535818151</c:v>
                </c:pt>
                <c:pt idx="21">
                  <c:v>0.46095158939829517</c:v>
                </c:pt>
                <c:pt idx="22">
                  <c:v>0.43214211506090172</c:v>
                </c:pt>
                <c:pt idx="23">
                  <c:v>0.40513323286959535</c:v>
                </c:pt>
                <c:pt idx="24">
                  <c:v>0.37981240581524567</c:v>
                </c:pt>
                <c:pt idx="25">
                  <c:v>0.35607413045179281</c:v>
                </c:pt>
                <c:pt idx="26">
                  <c:v>0.33381949729855576</c:v>
                </c:pt>
                <c:pt idx="27">
                  <c:v>0.31295577871739599</c:v>
                </c:pt>
                <c:pt idx="28">
                  <c:v>0.2933960425475588</c:v>
                </c:pt>
                <c:pt idx="29">
                  <c:v>0.27505878988833632</c:v>
                </c:pt>
                <c:pt idx="30">
                  <c:v>0.25786761552031534</c:v>
                </c:pt>
                <c:pt idx="31">
                  <c:v>0.24175088955029567</c:v>
                </c:pt>
                <c:pt idx="32">
                  <c:v>0.22664145895340215</c:v>
                </c:pt>
                <c:pt idx="33">
                  <c:v>0.21247636776881451</c:v>
                </c:pt>
                <c:pt idx="34">
                  <c:v>0.19919659478326357</c:v>
                </c:pt>
                <c:pt idx="35">
                  <c:v>0.18674680760930962</c:v>
                </c:pt>
                <c:pt idx="36">
                  <c:v>0.17507513213372772</c:v>
                </c:pt>
                <c:pt idx="37">
                  <c:v>0.16413293637536974</c:v>
                </c:pt>
                <c:pt idx="38">
                  <c:v>0.15387462785190908</c:v>
                </c:pt>
                <c:pt idx="39">
                  <c:v>0.14425746361116476</c:v>
                </c:pt>
                <c:pt idx="40">
                  <c:v>0.13524137213546694</c:v>
                </c:pt>
                <c:pt idx="41">
                  <c:v>0.12678878637700031</c:v>
                </c:pt>
                <c:pt idx="42">
                  <c:v>0.11886448722843779</c:v>
                </c:pt>
                <c:pt idx="43">
                  <c:v>0.11143545677666045</c:v>
                </c:pt>
                <c:pt idx="44">
                  <c:v>0.10447074072811913</c:v>
                </c:pt>
                <c:pt idx="45">
                  <c:v>9.794131943261164E-2</c:v>
                </c:pt>
                <c:pt idx="46">
                  <c:v>9.1819986968073364E-2</c:v>
                </c:pt>
                <c:pt idx="47">
                  <c:v>8.608123778256882E-2</c:v>
                </c:pt>
                <c:pt idx="48">
                  <c:v>8.0701160421158269E-2</c:v>
                </c:pt>
                <c:pt idx="49">
                  <c:v>7.5657337894835863E-2</c:v>
                </c:pt>
                <c:pt idx="50">
                  <c:v>7.0928754276408656E-2</c:v>
                </c:pt>
                <c:pt idx="51">
                  <c:v>6.6495707134133109E-2</c:v>
                </c:pt>
                <c:pt idx="52">
                  <c:v>6.2339725438249838E-2</c:v>
                </c:pt>
                <c:pt idx="53">
                  <c:v>5.8443492598359237E-2</c:v>
                </c:pt>
                <c:pt idx="54">
                  <c:v>5.4790774310961798E-2</c:v>
                </c:pt>
                <c:pt idx="55">
                  <c:v>5.1366350916526637E-2</c:v>
                </c:pt>
                <c:pt idx="56">
                  <c:v>4.8155953984243771E-2</c:v>
                </c:pt>
                <c:pt idx="57">
                  <c:v>4.5146206860228522E-2</c:v>
                </c:pt>
                <c:pt idx="58">
                  <c:v>4.232456893146419E-2</c:v>
                </c:pt>
                <c:pt idx="59">
                  <c:v>3.9679283373247665E-2</c:v>
                </c:pt>
                <c:pt idx="60">
                  <c:v>3.7199328162419665E-2</c:v>
                </c:pt>
                <c:pt idx="61">
                  <c:v>3.4874370152268463E-2</c:v>
                </c:pt>
                <c:pt idx="62">
                  <c:v>3.2694722017751698E-2</c:v>
                </c:pt>
                <c:pt idx="63">
                  <c:v>3.0651301891642224E-2</c:v>
                </c:pt>
                <c:pt idx="64">
                  <c:v>2.8735595523414537E-2</c:v>
                </c:pt>
                <c:pt idx="65">
                  <c:v>2.6939620803201114E-2</c:v>
                </c:pt>
                <c:pt idx="66">
                  <c:v>2.5255894503001031E-2</c:v>
                </c:pt>
                <c:pt idx="67">
                  <c:v>2.3677401096563466E-2</c:v>
                </c:pt>
                <c:pt idx="68">
                  <c:v>2.2197563528028263E-2</c:v>
                </c:pt>
                <c:pt idx="69">
                  <c:v>2.0810215807526511E-2</c:v>
                </c:pt>
                <c:pt idx="70">
                  <c:v>-1.9804904226804438</c:v>
                </c:pt>
                <c:pt idx="71">
                  <c:v>-1.8567097712629161</c:v>
                </c:pt>
                <c:pt idx="72">
                  <c:v>-1.7406654105589838</c:v>
                </c:pt>
                <c:pt idx="73">
                  <c:v>-1.6318738223990472</c:v>
                </c:pt>
                <c:pt idx="74">
                  <c:v>-1.529881708499107</c:v>
                </c:pt>
                <c:pt idx="75">
                  <c:v>-1.4342641017179127</c:v>
                </c:pt>
                <c:pt idx="76">
                  <c:v>-1.3446225953605431</c:v>
                </c:pt>
                <c:pt idx="77">
                  <c:v>-1.2605836831505091</c:v>
                </c:pt>
                <c:pt idx="78">
                  <c:v>-1.1817972029536024</c:v>
                </c:pt>
                <c:pt idx="79">
                  <c:v>-1.1079348777690021</c:v>
                </c:pt>
                <c:pt idx="80">
                  <c:v>-1.0386889479084396</c:v>
                </c:pt>
                <c:pt idx="81">
                  <c:v>-0.97377088866416206</c:v>
                </c:pt>
                <c:pt idx="82">
                  <c:v>-0.912910208122652</c:v>
                </c:pt>
                <c:pt idx="83">
                  <c:v>-0.85585332011498627</c:v>
                </c:pt>
                <c:pt idx="84">
                  <c:v>-0.8023624876077996</c:v>
                </c:pt>
                <c:pt idx="85">
                  <c:v>-0.75221483213231211</c:v>
                </c:pt>
                <c:pt idx="86">
                  <c:v>-0.70520140512404261</c:v>
                </c:pt>
                <c:pt idx="87">
                  <c:v>-0.66112631730379001</c:v>
                </c:pt>
                <c:pt idx="88">
                  <c:v>-0.61980592247230315</c:v>
                </c:pt>
                <c:pt idx="89">
                  <c:v>-0.58106805231778413</c:v>
                </c:pt>
                <c:pt idx="90">
                  <c:v>-0.54475129904792263</c:v>
                </c:pt>
                <c:pt idx="91">
                  <c:v>-0.5107043428574275</c:v>
                </c:pt>
                <c:pt idx="92">
                  <c:v>-0.47878532142883823</c:v>
                </c:pt>
                <c:pt idx="93">
                  <c:v>-0.44886123883953588</c:v>
                </c:pt>
                <c:pt idx="94">
                  <c:v>-0.4208074114120649</c:v>
                </c:pt>
                <c:pt idx="95">
                  <c:v>-0.39450694819881083</c:v>
                </c:pt>
                <c:pt idx="96">
                  <c:v>-0.3698502639363852</c:v>
                </c:pt>
                <c:pt idx="97">
                  <c:v>-0.34673462244036113</c:v>
                </c:pt>
                <c:pt idx="98">
                  <c:v>-0.3250637085378385</c:v>
                </c:pt>
                <c:pt idx="99">
                  <c:v>-0.30474722675422361</c:v>
                </c:pt>
                <c:pt idx="100">
                  <c:v>-0.28570052508208466</c:v>
                </c:pt>
                <c:pt idx="101">
                  <c:v>-0.26784424226445436</c:v>
                </c:pt>
                <c:pt idx="102">
                  <c:v>-0.25110397712292598</c:v>
                </c:pt>
                <c:pt idx="103">
                  <c:v>-0.23540997855274315</c:v>
                </c:pt>
                <c:pt idx="104">
                  <c:v>1.7793031451068033</c:v>
                </c:pt>
                <c:pt idx="105">
                  <c:v>1.668096698537628</c:v>
                </c:pt>
                <c:pt idx="106">
                  <c:v>1.5638406548790265</c:v>
                </c:pt>
                <c:pt idx="107">
                  <c:v>1.4661006139490871</c:v>
                </c:pt>
                <c:pt idx="108">
                  <c:v>1.3744693255772693</c:v>
                </c:pt>
                <c:pt idx="109">
                  <c:v>1.28856499272869</c:v>
                </c:pt>
                <c:pt idx="110">
                  <c:v>1.2080296806831468</c:v>
                </c:pt>
                <c:pt idx="111">
                  <c:v>1.1325278256404501</c:v>
                </c:pt>
                <c:pt idx="112">
                  <c:v>1.0617448365379221</c:v>
                </c:pt>
                <c:pt idx="113">
                  <c:v>0.99538578425430191</c:v>
                </c:pt>
                <c:pt idx="114">
                  <c:v>0.93317417273840797</c:v>
                </c:pt>
                <c:pt idx="115">
                  <c:v>0.87485078694225749</c:v>
                </c:pt>
                <c:pt idx="116">
                  <c:v>0.82017261275836639</c:v>
                </c:pt>
                <c:pt idx="117">
                  <c:v>0.76891182446096851</c:v>
                </c:pt>
                <c:pt idx="118">
                  <c:v>0.720854835432158</c:v>
                </c:pt>
                <c:pt idx="119">
                  <c:v>0.67580140821764811</c:v>
                </c:pt>
                <c:pt idx="120">
                  <c:v>0.63356382020404511</c:v>
                </c:pt>
                <c:pt idx="121">
                  <c:v>0.59396608144129237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A1-4827-951A-312E24C67612}"/>
            </c:ext>
          </c:extLst>
        </c:ser>
        <c:ser>
          <c:idx val="3"/>
          <c:order val="3"/>
          <c:tx>
            <c:strRef>
              <c:f>'Lowpass-Sim'!$G$3:$G$4</c:f>
              <c:strCache>
                <c:ptCount val="2"/>
                <c:pt idx="0">
                  <c:v>Shelving</c:v>
                </c:pt>
                <c:pt idx="1">
                  <c:v>s1x[n]-s2y[n-1]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'Lowpass-Sim'!$G$5:$G$127</c:f>
              <c:numCache>
                <c:formatCode>0.000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A1-4827-951A-312E24C67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937776"/>
        <c:axId val="209938192"/>
      </c:lineChart>
      <c:catAx>
        <c:axId val="20993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9938192"/>
        <c:crosses val="autoZero"/>
        <c:auto val="1"/>
        <c:lblAlgn val="ctr"/>
        <c:lblOffset val="100"/>
        <c:noMultiLvlLbl val="0"/>
      </c:catAx>
      <c:valAx>
        <c:axId val="20993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993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3.xml"/><Relationship Id="rId1" Type="http://schemas.openxmlformats.org/officeDocument/2006/relationships/image" Target="../media/image5.jpeg"/><Relationship Id="rId4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14</xdr:row>
      <xdr:rowOff>123826</xdr:rowOff>
    </xdr:from>
    <xdr:to>
      <xdr:col>14</xdr:col>
      <xdr:colOff>759469</xdr:colOff>
      <xdr:row>24</xdr:row>
      <xdr:rowOff>47625</xdr:rowOff>
    </xdr:to>
    <xdr:pic>
      <xdr:nvPicPr>
        <xdr:cNvPr id="2" name="Grafik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0" y="2857501"/>
          <a:ext cx="4855219" cy="1828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314325</xdr:colOff>
      <xdr:row>2</xdr:row>
      <xdr:rowOff>38100</xdr:rowOff>
    </xdr:from>
    <xdr:to>
      <xdr:col>15</xdr:col>
      <xdr:colOff>695325</xdr:colOff>
      <xdr:row>13</xdr:row>
      <xdr:rowOff>133350</xdr:rowOff>
    </xdr:to>
    <xdr:pic>
      <xdr:nvPicPr>
        <xdr:cNvPr id="3" name="Grafik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8925" y="485775"/>
          <a:ext cx="5715000" cy="219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23</xdr:row>
      <xdr:rowOff>47625</xdr:rowOff>
    </xdr:from>
    <xdr:to>
      <xdr:col>10</xdr:col>
      <xdr:colOff>504825</xdr:colOff>
      <xdr:row>46</xdr:row>
      <xdr:rowOff>57149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390525</xdr:colOff>
      <xdr:row>8</xdr:row>
      <xdr:rowOff>66675</xdr:rowOff>
    </xdr:from>
    <xdr:to>
      <xdr:col>8</xdr:col>
      <xdr:colOff>533400</xdr:colOff>
      <xdr:row>11</xdr:row>
      <xdr:rowOff>114300</xdr:rowOff>
    </xdr:to>
    <xdr:pic>
      <xdr:nvPicPr>
        <xdr:cNvPr id="4" name="Grafik 3" descr="filter coefficient formula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1657350"/>
          <a:ext cx="166687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228600</xdr:colOff>
      <xdr:row>4</xdr:row>
      <xdr:rowOff>123825</xdr:rowOff>
    </xdr:from>
    <xdr:to>
      <xdr:col>16</xdr:col>
      <xdr:colOff>609600</xdr:colOff>
      <xdr:row>15</xdr:row>
      <xdr:rowOff>66675</xdr:rowOff>
    </xdr:to>
    <xdr:pic>
      <xdr:nvPicPr>
        <xdr:cNvPr id="2" name="Grafik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695325"/>
          <a:ext cx="5715000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590549</xdr:colOff>
      <xdr:row>16</xdr:row>
      <xdr:rowOff>138112</xdr:rowOff>
    </xdr:from>
    <xdr:to>
      <xdr:col>18</xdr:col>
      <xdr:colOff>238124</xdr:colOff>
      <xdr:row>44</xdr:row>
      <xdr:rowOff>133350</xdr:rowOff>
    </xdr:to>
    <xdr:graphicFrame macro="">
      <xdr:nvGraphicFramePr>
        <xdr:cNvPr id="4" name="Diagram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</xdr:colOff>
      <xdr:row>1</xdr:row>
      <xdr:rowOff>104680</xdr:rowOff>
    </xdr:from>
    <xdr:to>
      <xdr:col>16</xdr:col>
      <xdr:colOff>122730</xdr:colOff>
      <xdr:row>7</xdr:row>
      <xdr:rowOff>152400</xdr:rowOff>
    </xdr:to>
    <xdr:pic>
      <xdr:nvPicPr>
        <xdr:cNvPr id="4" name="Grafik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371380"/>
          <a:ext cx="3161205" cy="1190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257175</xdr:colOff>
      <xdr:row>19</xdr:row>
      <xdr:rowOff>104774</xdr:rowOff>
    </xdr:from>
    <xdr:to>
      <xdr:col>18</xdr:col>
      <xdr:colOff>390525</xdr:colOff>
      <xdr:row>46</xdr:row>
      <xdr:rowOff>57149</xdr:rowOff>
    </xdr:to>
    <xdr:graphicFrame macro="">
      <xdr:nvGraphicFramePr>
        <xdr:cNvPr id="5" name="Diagramm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123825</xdr:colOff>
      <xdr:row>1</xdr:row>
      <xdr:rowOff>57151</xdr:rowOff>
    </xdr:from>
    <xdr:to>
      <xdr:col>19</xdr:col>
      <xdr:colOff>695325</xdr:colOff>
      <xdr:row>9</xdr:row>
      <xdr:rowOff>166689</xdr:rowOff>
    </xdr:to>
    <xdr:pic>
      <xdr:nvPicPr>
        <xdr:cNvPr id="6" name="Grafik 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3475" y="323851"/>
          <a:ext cx="2857500" cy="1633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11</xdr:row>
      <xdr:rowOff>57151</xdr:rowOff>
    </xdr:from>
    <xdr:to>
      <xdr:col>20</xdr:col>
      <xdr:colOff>204806</xdr:colOff>
      <xdr:row>18</xdr:row>
      <xdr:rowOff>95251</xdr:rowOff>
    </xdr:to>
    <xdr:pic>
      <xdr:nvPicPr>
        <xdr:cNvPr id="7" name="Grafik 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228851"/>
          <a:ext cx="325280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name="isim_results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tabSelected="1" workbookViewId="0">
      <selection activeCell="D12" sqref="D12"/>
    </sheetView>
  </sheetViews>
  <sheetFormatPr baseColWidth="10" defaultRowHeight="15" x14ac:dyDescent="0.25"/>
  <cols>
    <col min="1" max="1" width="14.85546875" customWidth="1"/>
    <col min="2" max="5" width="11.42578125" customWidth="1"/>
  </cols>
  <sheetData>
    <row r="1" spans="1:8" ht="20.25" x14ac:dyDescent="0.3">
      <c r="A1" s="2" t="s">
        <v>11</v>
      </c>
      <c r="B1" s="1"/>
      <c r="C1" s="1"/>
      <c r="D1" s="1"/>
      <c r="E1" s="1"/>
      <c r="F1" s="1"/>
      <c r="H1" s="1"/>
    </row>
    <row r="2" spans="1:8" x14ac:dyDescent="0.25">
      <c r="A2" s="4" t="s">
        <v>12</v>
      </c>
      <c r="G2" s="1"/>
      <c r="H2" s="1"/>
    </row>
    <row r="3" spans="1:8" x14ac:dyDescent="0.25">
      <c r="G3" s="1"/>
      <c r="H3" s="1"/>
    </row>
    <row r="4" spans="1:8" x14ac:dyDescent="0.25">
      <c r="A4" s="11" t="s">
        <v>5</v>
      </c>
      <c r="B4" s="9" t="s">
        <v>6</v>
      </c>
      <c r="C4" s="5" t="s">
        <v>13</v>
      </c>
      <c r="D4" s="5"/>
      <c r="H4" s="1"/>
    </row>
    <row r="5" spans="1:8" x14ac:dyDescent="0.25">
      <c r="H5" s="1"/>
    </row>
    <row r="6" spans="1:8" x14ac:dyDescent="0.25">
      <c r="A6" s="7" t="s">
        <v>14</v>
      </c>
      <c r="C6" s="8" t="s">
        <v>21</v>
      </c>
      <c r="H6" s="1"/>
    </row>
    <row r="7" spans="1:8" x14ac:dyDescent="0.25">
      <c r="A7" s="11">
        <v>48000</v>
      </c>
      <c r="C7" s="11">
        <v>12</v>
      </c>
      <c r="D7" t="s">
        <v>17</v>
      </c>
      <c r="H7" s="1"/>
    </row>
    <row r="8" spans="1:8" x14ac:dyDescent="0.25">
      <c r="A8" s="5">
        <f>1/A7</f>
        <v>2.0833333333333333E-5</v>
      </c>
      <c r="B8" s="3" t="s">
        <v>4</v>
      </c>
      <c r="H8" s="1"/>
    </row>
    <row r="9" spans="1:8" x14ac:dyDescent="0.25">
      <c r="H9" s="1"/>
    </row>
    <row r="10" spans="1:8" x14ac:dyDescent="0.25">
      <c r="A10" s="8" t="s">
        <v>25</v>
      </c>
      <c r="B10" s="3"/>
      <c r="C10" s="7" t="s">
        <v>15</v>
      </c>
      <c r="E10" s="1"/>
      <c r="H10" s="1"/>
    </row>
    <row r="11" spans="1:8" x14ac:dyDescent="0.25">
      <c r="A11" s="7" t="s">
        <v>16</v>
      </c>
      <c r="B11" s="1"/>
      <c r="C11" s="3" t="s">
        <v>0</v>
      </c>
      <c r="D11" s="4" t="s">
        <v>1</v>
      </c>
      <c r="E11" s="1"/>
      <c r="H11" s="1"/>
    </row>
    <row r="12" spans="1:8" x14ac:dyDescent="0.25">
      <c r="A12" s="11">
        <v>5.859375</v>
      </c>
      <c r="B12" s="5">
        <f>-(2*PI()*A12/A7)</f>
        <v>-7.6699039394282058E-4</v>
      </c>
      <c r="C12" s="5">
        <f>EXP(B12)</f>
        <v>0.99923330366800367</v>
      </c>
      <c r="D12" s="9">
        <f>1-C12</f>
        <v>7.6669633199633047E-4</v>
      </c>
      <c r="E12" s="1" t="s">
        <v>10</v>
      </c>
      <c r="H12" s="1"/>
    </row>
    <row r="13" spans="1:8" x14ac:dyDescent="0.25">
      <c r="C13" s="5">
        <f>ROUND(C12*2^C7,0)</f>
        <v>4093</v>
      </c>
      <c r="D13" s="9">
        <f>ROUND(D12*2^C7,0)</f>
        <v>3</v>
      </c>
      <c r="E13" t="s">
        <v>26</v>
      </c>
      <c r="H13" s="1"/>
    </row>
    <row r="14" spans="1:8" x14ac:dyDescent="0.25">
      <c r="A14" t="s">
        <v>23</v>
      </c>
      <c r="D14" s="10">
        <f>159155 /A12</f>
        <v>27162.453333333335</v>
      </c>
      <c r="E14" s="12" t="s">
        <v>18</v>
      </c>
      <c r="F14" s="1"/>
      <c r="G14" s="1"/>
      <c r="H14" s="1"/>
    </row>
    <row r="15" spans="1:8" x14ac:dyDescent="0.25">
      <c r="F15" s="1"/>
      <c r="G15" s="1"/>
      <c r="H15" s="1"/>
    </row>
    <row r="16" spans="1:8" x14ac:dyDescent="0.25">
      <c r="A16" s="4" t="s">
        <v>8</v>
      </c>
      <c r="B16" s="1"/>
      <c r="C16" s="1"/>
      <c r="D16" s="7" t="s">
        <v>9</v>
      </c>
      <c r="F16" s="1"/>
      <c r="G16" s="1"/>
      <c r="H16" s="1"/>
    </row>
    <row r="17" spans="1:8" x14ac:dyDescent="0.25">
      <c r="A17" s="11">
        <v>8.6973999999999996E-2</v>
      </c>
      <c r="B17" s="5">
        <f>1-A17</f>
        <v>0.913026</v>
      </c>
      <c r="C17" s="5">
        <f>-LN(B17)</f>
        <v>9.0990921246096382E-2</v>
      </c>
      <c r="D17" s="10">
        <f>C17/(2*PI()*A8)</f>
        <v>695.11943485447682</v>
      </c>
      <c r="E17" s="1" t="s">
        <v>19</v>
      </c>
      <c r="G17" s="1"/>
      <c r="H17" s="1"/>
    </row>
    <row r="18" spans="1:8" x14ac:dyDescent="0.25">
      <c r="A18" t="s">
        <v>23</v>
      </c>
      <c r="D18" s="10">
        <f>159155 /D17</f>
        <v>228.96065340673303</v>
      </c>
      <c r="E18" s="12" t="s">
        <v>18</v>
      </c>
      <c r="G18" s="1"/>
      <c r="H18" s="1"/>
    </row>
    <row r="19" spans="1:8" x14ac:dyDescent="0.25">
      <c r="G19" s="1"/>
      <c r="H19" s="1"/>
    </row>
    <row r="20" spans="1:8" x14ac:dyDescent="0.25">
      <c r="A20" s="8" t="s">
        <v>7</v>
      </c>
      <c r="G20" s="1"/>
      <c r="H20" s="1"/>
    </row>
    <row r="21" spans="1:8" x14ac:dyDescent="0.25">
      <c r="A21" t="s">
        <v>20</v>
      </c>
      <c r="F21" s="1"/>
      <c r="G21" s="1"/>
      <c r="H21" s="1"/>
    </row>
    <row r="22" spans="1:8" x14ac:dyDescent="0.25">
      <c r="F22" s="1"/>
      <c r="G22" s="1"/>
      <c r="H22" s="1"/>
    </row>
    <row r="23" spans="1:8" x14ac:dyDescent="0.25">
      <c r="D23" s="8" t="s">
        <v>25</v>
      </c>
      <c r="F23" s="1"/>
      <c r="G23" s="1"/>
      <c r="H23" s="1"/>
    </row>
    <row r="24" spans="1:8" x14ac:dyDescent="0.25">
      <c r="A24" s="4" t="s">
        <v>27</v>
      </c>
      <c r="B24" s="1"/>
      <c r="C24" s="1"/>
      <c r="D24" s="7" t="s">
        <v>9</v>
      </c>
      <c r="F24" s="1"/>
      <c r="G24" s="1"/>
      <c r="H24" s="1"/>
    </row>
    <row r="25" spans="1:8" x14ac:dyDescent="0.25">
      <c r="A25" s="11">
        <v>126</v>
      </c>
      <c r="B25" s="5">
        <f>1-(A25/2^C7)</f>
        <v>0.96923828125</v>
      </c>
      <c r="C25" s="5">
        <f>-LN(B25)</f>
        <v>3.1244793038107618E-2</v>
      </c>
      <c r="D25" s="10">
        <f>C25/(2*PI()*A8)</f>
        <v>238.69263637910717</v>
      </c>
      <c r="E25" t="s">
        <v>19</v>
      </c>
      <c r="F25" s="1"/>
      <c r="G25" s="1"/>
      <c r="H25" s="1"/>
    </row>
    <row r="26" spans="1:8" x14ac:dyDescent="0.25">
      <c r="A26" t="s">
        <v>23</v>
      </c>
      <c r="D26" s="10">
        <f>159155 /D25</f>
        <v>666.7780054480595</v>
      </c>
      <c r="E26" s="12" t="s">
        <v>18</v>
      </c>
      <c r="F26" s="1"/>
      <c r="G26" s="1"/>
      <c r="H26" s="1"/>
    </row>
    <row r="27" spans="1:8" x14ac:dyDescent="0.25">
      <c r="F27" s="1"/>
      <c r="G27" s="1"/>
      <c r="H27" s="1"/>
    </row>
    <row r="28" spans="1:8" x14ac:dyDescent="0.25">
      <c r="A28" s="4" t="s">
        <v>2</v>
      </c>
      <c r="B28" s="4" t="s">
        <v>1</v>
      </c>
      <c r="C28" s="3" t="s">
        <v>0</v>
      </c>
      <c r="D28" s="6" t="s">
        <v>3</v>
      </c>
      <c r="E28" s="4" t="s">
        <v>29</v>
      </c>
      <c r="F28" s="1"/>
      <c r="G28" s="1"/>
      <c r="H28" s="1"/>
    </row>
    <row r="29" spans="1:8" x14ac:dyDescent="0.25">
      <c r="A29" s="5">
        <v>1</v>
      </c>
      <c r="B29" s="5">
        <f>2^(-A29)</f>
        <v>0.5</v>
      </c>
      <c r="C29" s="5">
        <f t="shared" ref="C29:C35" si="0">1-B29</f>
        <v>0.5</v>
      </c>
      <c r="D29" s="5">
        <f t="shared" ref="D29:D35" si="1">-LN(C29)</f>
        <v>0.69314718055994529</v>
      </c>
      <c r="E29" s="10">
        <f t="shared" ref="E29:E35" si="2">D29/(2*PI()*$A$8)</f>
        <v>5295.2544036636391</v>
      </c>
      <c r="F29" s="1"/>
      <c r="G29" s="1"/>
      <c r="H29" s="1"/>
    </row>
    <row r="30" spans="1:8" x14ac:dyDescent="0.25">
      <c r="A30" s="5">
        <v>2</v>
      </c>
      <c r="B30" s="5">
        <f t="shared" ref="B30:B35" si="3">2^(-A30)</f>
        <v>0.25</v>
      </c>
      <c r="C30" s="5">
        <f t="shared" si="0"/>
        <v>0.75</v>
      </c>
      <c r="D30" s="5">
        <f t="shared" si="1"/>
        <v>0.2876820724517809</v>
      </c>
      <c r="E30" s="10">
        <f t="shared" si="2"/>
        <v>2197.7291457418419</v>
      </c>
      <c r="F30" s="1"/>
      <c r="G30" s="1"/>
      <c r="H30" s="1"/>
    </row>
    <row r="31" spans="1:8" x14ac:dyDescent="0.25">
      <c r="A31" s="5">
        <v>3</v>
      </c>
      <c r="B31" s="5">
        <f t="shared" si="3"/>
        <v>0.125</v>
      </c>
      <c r="C31" s="5">
        <f t="shared" si="0"/>
        <v>0.875</v>
      </c>
      <c r="D31" s="5">
        <f t="shared" si="1"/>
        <v>0.13353139262452263</v>
      </c>
      <c r="E31" s="10">
        <f t="shared" si="2"/>
        <v>1020.1046973185968</v>
      </c>
      <c r="F31" s="1"/>
      <c r="G31" s="1"/>
      <c r="H31" s="1"/>
    </row>
    <row r="32" spans="1:8" x14ac:dyDescent="0.25">
      <c r="A32" s="5">
        <v>4</v>
      </c>
      <c r="B32" s="5">
        <f t="shared" si="3"/>
        <v>6.25E-2</v>
      </c>
      <c r="C32" s="5">
        <f t="shared" si="0"/>
        <v>0.9375</v>
      </c>
      <c r="D32" s="5">
        <f t="shared" si="1"/>
        <v>6.4538521137571178E-2</v>
      </c>
      <c r="E32" s="10">
        <f t="shared" si="2"/>
        <v>493.03798362649087</v>
      </c>
      <c r="F32" s="1"/>
      <c r="G32" s="1"/>
      <c r="H32" s="1"/>
    </row>
    <row r="33" spans="1:5" x14ac:dyDescent="0.25">
      <c r="A33" s="5">
        <v>5</v>
      </c>
      <c r="B33" s="5">
        <f t="shared" si="3"/>
        <v>3.125E-2</v>
      </c>
      <c r="C33" s="5">
        <f t="shared" si="0"/>
        <v>0.96875</v>
      </c>
      <c r="D33" s="5">
        <f t="shared" si="1"/>
        <v>3.1748698314580298E-2</v>
      </c>
      <c r="E33" s="10">
        <f t="shared" si="2"/>
        <v>242.5421891279415</v>
      </c>
    </row>
    <row r="34" spans="1:5" x14ac:dyDescent="0.25">
      <c r="A34" s="5">
        <v>6</v>
      </c>
      <c r="B34" s="5">
        <f t="shared" si="3"/>
        <v>1.5625E-2</v>
      </c>
      <c r="C34" s="5">
        <f t="shared" si="0"/>
        <v>0.984375</v>
      </c>
      <c r="D34" s="5">
        <f t="shared" si="1"/>
        <v>1.5748356968139168E-2</v>
      </c>
      <c r="E34" s="10">
        <f t="shared" si="2"/>
        <v>120.30858513864206</v>
      </c>
    </row>
    <row r="35" spans="1:5" x14ac:dyDescent="0.25">
      <c r="A35" s="5">
        <v>7</v>
      </c>
      <c r="B35" s="5">
        <f t="shared" si="3"/>
        <v>7.8125E-3</v>
      </c>
      <c r="C35" s="5">
        <f t="shared" si="0"/>
        <v>0.9921875</v>
      </c>
      <c r="D35" s="5">
        <f t="shared" si="1"/>
        <v>7.8431774610258926E-3</v>
      </c>
      <c r="E35" s="10">
        <f t="shared" si="2"/>
        <v>59.917462198522188</v>
      </c>
    </row>
    <row r="36" spans="1:5" x14ac:dyDescent="0.25">
      <c r="A36" s="14">
        <v>8</v>
      </c>
      <c r="B36" s="5">
        <f t="shared" ref="B36" si="4">2^(-A36)</f>
        <v>3.90625E-3</v>
      </c>
      <c r="C36" s="5">
        <f t="shared" ref="C36" si="5">1-B36</f>
        <v>0.99609375</v>
      </c>
      <c r="D36" s="5">
        <f t="shared" ref="D36" si="6">-LN(C36)</f>
        <v>3.9138993211363287E-3</v>
      </c>
      <c r="E36" s="15">
        <f t="shared" ref="E36" si="7">D36/(2*PI()*$A$8)</f>
        <v>29.899988338697291</v>
      </c>
    </row>
    <row r="37" spans="1:5" x14ac:dyDescent="0.25">
      <c r="A37" s="5">
        <v>9</v>
      </c>
      <c r="B37" s="5">
        <f t="shared" ref="B37:B38" si="8">2^(-A37)</f>
        <v>1.953125E-3</v>
      </c>
      <c r="C37" s="5">
        <f t="shared" ref="C37:C38" si="9">1-B37</f>
        <v>0.998046875</v>
      </c>
      <c r="D37" s="5">
        <f t="shared" ref="D37:D38" si="10">-LN(C37)</f>
        <v>1.9550348358033506E-3</v>
      </c>
      <c r="E37" s="10">
        <f t="shared" ref="E37:E38" si="11">D37/(2*PI()*$A$8)</f>
        <v>14.935365985677851</v>
      </c>
    </row>
    <row r="38" spans="1:5" x14ac:dyDescent="0.25">
      <c r="A38" s="5">
        <v>10</v>
      </c>
      <c r="B38" s="5">
        <f t="shared" si="8"/>
        <v>9.765625E-4</v>
      </c>
      <c r="C38" s="5">
        <f t="shared" si="9"/>
        <v>0.9990234375</v>
      </c>
      <c r="D38" s="5">
        <f t="shared" si="10"/>
        <v>9.7703964782661274E-4</v>
      </c>
      <c r="E38" s="10">
        <f t="shared" si="11"/>
        <v>7.4640330983217611</v>
      </c>
    </row>
    <row r="40" spans="1:5" x14ac:dyDescent="0.25">
      <c r="A40" t="s">
        <v>28</v>
      </c>
    </row>
    <row r="41" spans="1:5" x14ac:dyDescent="0.25">
      <c r="A41" t="s">
        <v>22</v>
      </c>
      <c r="C41" t="s">
        <v>24</v>
      </c>
    </row>
    <row r="42" spans="1:5" x14ac:dyDescent="0.25">
      <c r="A42" s="11">
        <v>1000</v>
      </c>
      <c r="B42" s="1">
        <f>A7/A42</f>
        <v>48</v>
      </c>
      <c r="C42" s="13">
        <f>2*PI()/B42</f>
        <v>0.1308996938995747</v>
      </c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4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4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4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4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4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4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4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4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4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  <row r="81" spans="1:8" x14ac:dyDescent="0.25">
      <c r="A81" s="1"/>
      <c r="B81" s="4"/>
      <c r="C81" s="1"/>
      <c r="D81" s="1"/>
      <c r="E81" s="1"/>
      <c r="F81" s="1"/>
      <c r="G81" s="1"/>
      <c r="H81" s="1"/>
    </row>
    <row r="82" spans="1:8" x14ac:dyDescent="0.25">
      <c r="A82" s="1"/>
      <c r="B82" s="1"/>
      <c r="C82" s="1"/>
      <c r="D82" s="1"/>
      <c r="E82" s="1"/>
      <c r="F82" s="1"/>
      <c r="G82" s="1"/>
      <c r="H82" s="1"/>
    </row>
    <row r="83" spans="1:8" x14ac:dyDescent="0.25">
      <c r="A83" s="1"/>
      <c r="B83" s="1"/>
      <c r="C83" s="1"/>
      <c r="D83" s="1"/>
      <c r="E83" s="1"/>
      <c r="F83" s="1"/>
      <c r="G83" s="1"/>
      <c r="H83" s="1"/>
    </row>
    <row r="84" spans="1:8" x14ac:dyDescent="0.25">
      <c r="A84" s="1"/>
      <c r="B84" s="4"/>
      <c r="C84" s="1"/>
      <c r="D84" s="1"/>
      <c r="E84" s="1"/>
      <c r="F84" s="1"/>
      <c r="G84" s="1"/>
      <c r="H84" s="1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workbookViewId="0">
      <selection activeCell="E8" sqref="E8"/>
    </sheetView>
  </sheetViews>
  <sheetFormatPr baseColWidth="10" defaultRowHeight="15" x14ac:dyDescent="0.25"/>
  <cols>
    <col min="1" max="1" width="12" bestFit="1" customWidth="1"/>
    <col min="4" max="4" width="12" bestFit="1" customWidth="1"/>
    <col min="12" max="12" width="5.7109375" style="16" bestFit="1" customWidth="1"/>
  </cols>
  <sheetData>
    <row r="1" spans="1:12" ht="20.25" x14ac:dyDescent="0.3">
      <c r="A1" s="2" t="s">
        <v>30</v>
      </c>
      <c r="B1" s="1"/>
      <c r="C1" s="1"/>
      <c r="D1" s="1"/>
      <c r="E1" s="1"/>
      <c r="K1" s="17" t="s">
        <v>39</v>
      </c>
      <c r="L1" s="16">
        <v>61</v>
      </c>
    </row>
    <row r="2" spans="1:12" x14ac:dyDescent="0.25">
      <c r="A2" s="4" t="s">
        <v>31</v>
      </c>
      <c r="K2" s="18" t="s">
        <v>40</v>
      </c>
      <c r="L2" s="16">
        <v>121</v>
      </c>
    </row>
    <row r="3" spans="1:12" x14ac:dyDescent="0.25">
      <c r="L3" s="16">
        <v>182</v>
      </c>
    </row>
    <row r="4" spans="1:12" x14ac:dyDescent="0.25">
      <c r="A4" s="7" t="s">
        <v>38</v>
      </c>
      <c r="B4" s="12" t="s">
        <v>41</v>
      </c>
      <c r="C4" s="8" t="s">
        <v>32</v>
      </c>
      <c r="G4" s="8" t="s">
        <v>37</v>
      </c>
      <c r="L4" s="16">
        <v>241</v>
      </c>
    </row>
    <row r="5" spans="1:12" x14ac:dyDescent="0.25">
      <c r="A5" s="11">
        <v>49152000</v>
      </c>
      <c r="C5" s="11">
        <v>1024</v>
      </c>
      <c r="D5" t="s">
        <v>17</v>
      </c>
      <c r="G5" s="11">
        <v>100</v>
      </c>
      <c r="H5" t="s">
        <v>42</v>
      </c>
      <c r="L5" s="16">
        <v>300</v>
      </c>
    </row>
    <row r="6" spans="1:12" x14ac:dyDescent="0.25">
      <c r="A6" s="5">
        <f>1/(A5/(C5+1))</f>
        <v>2.0853678385416667E-5</v>
      </c>
      <c r="B6" s="3" t="s">
        <v>49</v>
      </c>
      <c r="C6" s="1">
        <v>65536</v>
      </c>
      <c r="D6" t="s">
        <v>34</v>
      </c>
      <c r="G6" s="9">
        <f>1/(A6*G5)</f>
        <v>479.5317073170732</v>
      </c>
      <c r="H6" t="s">
        <v>36</v>
      </c>
      <c r="L6" s="16">
        <v>358</v>
      </c>
    </row>
    <row r="7" spans="1:12" x14ac:dyDescent="0.25">
      <c r="A7" s="5">
        <f>1/A6</f>
        <v>47953.170731707316</v>
      </c>
      <c r="B7" t="s">
        <v>43</v>
      </c>
      <c r="L7" s="16">
        <v>414</v>
      </c>
    </row>
    <row r="8" spans="1:12" x14ac:dyDescent="0.25">
      <c r="A8" s="19">
        <f>A6*PI()</f>
        <v>6.5513762815949263E-5</v>
      </c>
      <c r="B8" s="3" t="s">
        <v>48</v>
      </c>
      <c r="C8" s="5">
        <v>4.28667</v>
      </c>
      <c r="E8" s="1"/>
      <c r="L8" s="16">
        <v>469</v>
      </c>
    </row>
    <row r="9" spans="1:12" x14ac:dyDescent="0.25">
      <c r="L9" s="16">
        <v>522</v>
      </c>
    </row>
    <row r="10" spans="1:12" x14ac:dyDescent="0.25">
      <c r="A10" s="7" t="s">
        <v>33</v>
      </c>
      <c r="B10" s="1"/>
      <c r="C10" t="s">
        <v>84</v>
      </c>
      <c r="D10" s="7" t="s">
        <v>45</v>
      </c>
      <c r="E10" s="1"/>
      <c r="L10" s="16">
        <v>573</v>
      </c>
    </row>
    <row r="11" spans="1:12" x14ac:dyDescent="0.25">
      <c r="A11" s="11">
        <v>1</v>
      </c>
      <c r="B11" s="5">
        <f>C5+1</f>
        <v>1025</v>
      </c>
      <c r="C11" s="5">
        <v>4.28667</v>
      </c>
      <c r="D11" s="9">
        <f>A11*C11*B11/512</f>
        <v>8.5817124023437508</v>
      </c>
      <c r="E11" t="s">
        <v>35</v>
      </c>
      <c r="L11" s="16">
        <v>622</v>
      </c>
    </row>
    <row r="12" spans="1:12" x14ac:dyDescent="0.25">
      <c r="L12" s="16">
        <v>668</v>
      </c>
    </row>
    <row r="13" spans="1:12" x14ac:dyDescent="0.25">
      <c r="L13" s="16">
        <v>712</v>
      </c>
    </row>
    <row r="14" spans="1:12" x14ac:dyDescent="0.25">
      <c r="A14" s="4" t="s">
        <v>47</v>
      </c>
      <c r="B14" s="1"/>
      <c r="C14" s="1"/>
      <c r="D14" s="7" t="s">
        <v>46</v>
      </c>
      <c r="L14" s="16">
        <v>754</v>
      </c>
    </row>
    <row r="15" spans="1:12" x14ac:dyDescent="0.25">
      <c r="A15" s="11">
        <v>4000</v>
      </c>
      <c r="B15" s="5">
        <f>C5+1</f>
        <v>1025</v>
      </c>
      <c r="C15" s="5">
        <v>4.28667</v>
      </c>
      <c r="D15" s="10">
        <f>A15*512/B15/C15</f>
        <v>466.10744015466662</v>
      </c>
      <c r="E15" t="s">
        <v>19</v>
      </c>
      <c r="F15">
        <f>1/D15</f>
        <v>2.1454281005859376E-3</v>
      </c>
      <c r="G15" t="s">
        <v>18</v>
      </c>
      <c r="L15" s="16">
        <v>793</v>
      </c>
    </row>
    <row r="16" spans="1:12" x14ac:dyDescent="0.25">
      <c r="D16" s="12"/>
      <c r="E16" s="12"/>
      <c r="L16" s="16">
        <v>828</v>
      </c>
    </row>
    <row r="17" spans="1:12" x14ac:dyDescent="0.25">
      <c r="A17" s="8" t="s">
        <v>83</v>
      </c>
      <c r="L17" s="16">
        <v>861</v>
      </c>
    </row>
    <row r="18" spans="1:12" x14ac:dyDescent="0.25">
      <c r="A18">
        <v>125</v>
      </c>
      <c r="B18">
        <v>250</v>
      </c>
      <c r="C18">
        <v>500</v>
      </c>
      <c r="D18">
        <v>1000</v>
      </c>
      <c r="E18">
        <v>2000</v>
      </c>
      <c r="F18">
        <v>4000</v>
      </c>
      <c r="G18">
        <v>8000</v>
      </c>
      <c r="H18">
        <v>16000</v>
      </c>
      <c r="I18">
        <v>32000</v>
      </c>
      <c r="J18" s="8" t="s">
        <v>45</v>
      </c>
      <c r="L18" s="16">
        <v>890</v>
      </c>
    </row>
    <row r="19" spans="1:12" x14ac:dyDescent="0.25">
      <c r="A19">
        <v>29.1</v>
      </c>
      <c r="B19">
        <v>58.3</v>
      </c>
      <c r="C19">
        <v>116.6</v>
      </c>
      <c r="D19">
        <v>233.2</v>
      </c>
      <c r="E19">
        <v>466.3</v>
      </c>
      <c r="F19">
        <v>932.8</v>
      </c>
      <c r="G19">
        <v>1866.25</v>
      </c>
      <c r="H19">
        <v>3739</v>
      </c>
      <c r="I19">
        <v>7536</v>
      </c>
      <c r="J19" s="8" t="s">
        <v>46</v>
      </c>
      <c r="L19" s="16">
        <v>917</v>
      </c>
    </row>
    <row r="20" spans="1:12" x14ac:dyDescent="0.25">
      <c r="A20">
        <f>ROUND(A18/A19,5)</f>
        <v>4.2955300000000003</v>
      </c>
      <c r="B20">
        <f t="shared" ref="B20:I20" si="0">ROUND(B18/B19,5)</f>
        <v>4.2881600000000004</v>
      </c>
      <c r="C20">
        <f t="shared" si="0"/>
        <v>4.2881600000000004</v>
      </c>
      <c r="D20">
        <f t="shared" si="0"/>
        <v>4.2881600000000004</v>
      </c>
      <c r="E20">
        <f t="shared" si="0"/>
        <v>4.2890800000000002</v>
      </c>
      <c r="F20">
        <f t="shared" si="0"/>
        <v>4.2881600000000004</v>
      </c>
      <c r="G20">
        <f t="shared" si="0"/>
        <v>4.28667</v>
      </c>
      <c r="H20">
        <f t="shared" si="0"/>
        <v>4.2792199999999996</v>
      </c>
      <c r="I20">
        <f t="shared" si="0"/>
        <v>4.2462799999999996</v>
      </c>
      <c r="J20" s="8" t="s">
        <v>44</v>
      </c>
      <c r="L20" s="16">
        <v>939</v>
      </c>
    </row>
    <row r="21" spans="1:12" x14ac:dyDescent="0.25">
      <c r="F21" s="8"/>
      <c r="L21" s="16">
        <v>958</v>
      </c>
    </row>
    <row r="22" spans="1:12" x14ac:dyDescent="0.25">
      <c r="L22" s="16">
        <v>974</v>
      </c>
    </row>
    <row r="23" spans="1:12" x14ac:dyDescent="0.25">
      <c r="L23" s="16">
        <v>986</v>
      </c>
    </row>
    <row r="24" spans="1:12" x14ac:dyDescent="0.25">
      <c r="L24" s="16">
        <v>994</v>
      </c>
    </row>
    <row r="25" spans="1:12" x14ac:dyDescent="0.25">
      <c r="L25" s="16">
        <v>999</v>
      </c>
    </row>
    <row r="26" spans="1:12" x14ac:dyDescent="0.25">
      <c r="L26" s="16">
        <v>1000</v>
      </c>
    </row>
    <row r="27" spans="1:12" x14ac:dyDescent="0.25">
      <c r="L27" s="16">
        <v>997</v>
      </c>
    </row>
    <row r="28" spans="1:12" x14ac:dyDescent="0.25">
      <c r="L28" s="16">
        <v>991</v>
      </c>
    </row>
    <row r="29" spans="1:12" x14ac:dyDescent="0.25">
      <c r="L29" s="16">
        <v>980</v>
      </c>
    </row>
    <row r="30" spans="1:12" x14ac:dyDescent="0.25">
      <c r="L30" s="16">
        <v>966</v>
      </c>
    </row>
    <row r="31" spans="1:12" x14ac:dyDescent="0.25">
      <c r="L31" s="16">
        <v>949</v>
      </c>
    </row>
    <row r="32" spans="1:12" x14ac:dyDescent="0.25">
      <c r="L32" s="16">
        <v>928</v>
      </c>
    </row>
    <row r="33" spans="12:12" x14ac:dyDescent="0.25">
      <c r="L33" s="16">
        <v>903</v>
      </c>
    </row>
    <row r="34" spans="12:12" x14ac:dyDescent="0.25">
      <c r="L34" s="16">
        <v>876</v>
      </c>
    </row>
    <row r="35" spans="12:12" x14ac:dyDescent="0.25">
      <c r="L35" s="16">
        <v>844</v>
      </c>
    </row>
    <row r="36" spans="12:12" x14ac:dyDescent="0.25">
      <c r="L36" s="16">
        <v>810</v>
      </c>
    </row>
    <row r="37" spans="12:12" x14ac:dyDescent="0.25">
      <c r="L37" s="16">
        <v>773</v>
      </c>
    </row>
    <row r="38" spans="12:12" x14ac:dyDescent="0.25">
      <c r="L38" s="16">
        <v>733</v>
      </c>
    </row>
    <row r="39" spans="12:12" x14ac:dyDescent="0.25">
      <c r="L39" s="16">
        <v>690</v>
      </c>
    </row>
    <row r="40" spans="12:12" x14ac:dyDescent="0.25">
      <c r="L40" s="16">
        <v>644</v>
      </c>
    </row>
    <row r="41" spans="12:12" x14ac:dyDescent="0.25">
      <c r="L41" s="16">
        <v>597</v>
      </c>
    </row>
    <row r="42" spans="12:12" x14ac:dyDescent="0.25">
      <c r="L42" s="16">
        <v>547</v>
      </c>
    </row>
    <row r="43" spans="12:12" x14ac:dyDescent="0.25">
      <c r="L43" s="16">
        <v>494</v>
      </c>
    </row>
    <row r="44" spans="12:12" x14ac:dyDescent="0.25">
      <c r="L44" s="16">
        <v>440</v>
      </c>
    </row>
    <row r="45" spans="12:12" x14ac:dyDescent="0.25">
      <c r="L45" s="16">
        <v>385</v>
      </c>
    </row>
    <row r="46" spans="12:12" x14ac:dyDescent="0.25">
      <c r="L46" s="16">
        <v>328</v>
      </c>
    </row>
    <row r="47" spans="12:12" x14ac:dyDescent="0.25">
      <c r="L47" s="16">
        <v>270</v>
      </c>
    </row>
    <row r="48" spans="12:12" x14ac:dyDescent="0.25">
      <c r="L48" s="16">
        <v>210</v>
      </c>
    </row>
    <row r="49" spans="12:12" x14ac:dyDescent="0.25">
      <c r="L49" s="16">
        <v>150</v>
      </c>
    </row>
    <row r="50" spans="12:12" x14ac:dyDescent="0.25">
      <c r="L50" s="16">
        <v>90</v>
      </c>
    </row>
    <row r="51" spans="12:12" x14ac:dyDescent="0.25">
      <c r="L51" s="16">
        <v>29</v>
      </c>
    </row>
    <row r="52" spans="12:12" x14ac:dyDescent="0.25">
      <c r="L52" s="16">
        <v>-32</v>
      </c>
    </row>
    <row r="53" spans="12:12" x14ac:dyDescent="0.25">
      <c r="L53" s="16">
        <v>-93</v>
      </c>
    </row>
    <row r="54" spans="12:12" x14ac:dyDescent="0.25">
      <c r="L54" s="16">
        <v>-154</v>
      </c>
    </row>
    <row r="55" spans="12:12" x14ac:dyDescent="0.25">
      <c r="L55" s="16">
        <v>-214</v>
      </c>
    </row>
    <row r="56" spans="12:12" x14ac:dyDescent="0.25">
      <c r="L56" s="16">
        <v>-273</v>
      </c>
    </row>
    <row r="57" spans="12:12" x14ac:dyDescent="0.25">
      <c r="L57" s="16">
        <v>-331</v>
      </c>
    </row>
    <row r="58" spans="12:12" x14ac:dyDescent="0.25">
      <c r="L58" s="16">
        <v>-388</v>
      </c>
    </row>
    <row r="59" spans="12:12" x14ac:dyDescent="0.25">
      <c r="L59" s="16">
        <v>-444</v>
      </c>
    </row>
    <row r="60" spans="12:12" x14ac:dyDescent="0.25">
      <c r="L60" s="16">
        <v>-497</v>
      </c>
    </row>
    <row r="61" spans="12:12" x14ac:dyDescent="0.25">
      <c r="L61" s="16">
        <v>-549</v>
      </c>
    </row>
    <row r="62" spans="12:12" x14ac:dyDescent="0.25">
      <c r="L62" s="16">
        <v>-599</v>
      </c>
    </row>
    <row r="63" spans="12:12" x14ac:dyDescent="0.25">
      <c r="L63" s="16">
        <v>-647</v>
      </c>
    </row>
    <row r="64" spans="12:12" x14ac:dyDescent="0.25">
      <c r="L64" s="16">
        <v>-692</v>
      </c>
    </row>
    <row r="65" spans="12:12" x14ac:dyDescent="0.25">
      <c r="L65" s="16">
        <v>-735</v>
      </c>
    </row>
    <row r="66" spans="12:12" x14ac:dyDescent="0.25">
      <c r="L66" s="16">
        <v>-775</v>
      </c>
    </row>
    <row r="67" spans="12:12" x14ac:dyDescent="0.25">
      <c r="L67" s="16">
        <v>-812</v>
      </c>
    </row>
    <row r="68" spans="12:12" x14ac:dyDescent="0.25">
      <c r="L68" s="16">
        <v>-846</v>
      </c>
    </row>
    <row r="69" spans="12:12" x14ac:dyDescent="0.25">
      <c r="L69" s="16">
        <v>-877</v>
      </c>
    </row>
    <row r="70" spans="12:12" x14ac:dyDescent="0.25">
      <c r="L70" s="16">
        <v>-905</v>
      </c>
    </row>
    <row r="71" spans="12:12" x14ac:dyDescent="0.25">
      <c r="L71" s="16">
        <v>-929</v>
      </c>
    </row>
    <row r="72" spans="12:12" x14ac:dyDescent="0.25">
      <c r="L72" s="16">
        <v>-950</v>
      </c>
    </row>
    <row r="73" spans="12:12" x14ac:dyDescent="0.25">
      <c r="L73" s="16">
        <v>-967</v>
      </c>
    </row>
    <row r="74" spans="12:12" x14ac:dyDescent="0.25">
      <c r="L74" s="16">
        <v>-981</v>
      </c>
    </row>
    <row r="75" spans="12:12" x14ac:dyDescent="0.25">
      <c r="L75" s="16">
        <v>-991</v>
      </c>
    </row>
    <row r="76" spans="12:12" x14ac:dyDescent="0.25">
      <c r="L76" s="16">
        <v>-997</v>
      </c>
    </row>
    <row r="77" spans="12:12" x14ac:dyDescent="0.25">
      <c r="L77" s="16">
        <v>-1000</v>
      </c>
    </row>
    <row r="78" spans="12:12" x14ac:dyDescent="0.25">
      <c r="L78" s="16">
        <v>-999</v>
      </c>
    </row>
    <row r="79" spans="12:12" x14ac:dyDescent="0.25">
      <c r="L79" s="16">
        <v>-994</v>
      </c>
    </row>
    <row r="80" spans="12:12" x14ac:dyDescent="0.25">
      <c r="L80" s="16">
        <v>-985</v>
      </c>
    </row>
    <row r="81" spans="12:12" x14ac:dyDescent="0.25">
      <c r="L81" s="16">
        <v>-973</v>
      </c>
    </row>
    <row r="82" spans="12:12" x14ac:dyDescent="0.25">
      <c r="L82" s="16">
        <v>-957</v>
      </c>
    </row>
    <row r="83" spans="12:12" x14ac:dyDescent="0.25">
      <c r="L83" s="16">
        <v>-938</v>
      </c>
    </row>
    <row r="84" spans="12:12" x14ac:dyDescent="0.25">
      <c r="L84" s="16">
        <v>-915</v>
      </c>
    </row>
    <row r="85" spans="12:12" x14ac:dyDescent="0.25">
      <c r="L85" s="16">
        <v>-889</v>
      </c>
    </row>
    <row r="86" spans="12:12" x14ac:dyDescent="0.25">
      <c r="L86" s="16">
        <v>-859</v>
      </c>
    </row>
    <row r="87" spans="12:12" x14ac:dyDescent="0.25">
      <c r="L87" s="16">
        <v>-826</v>
      </c>
    </row>
    <row r="88" spans="12:12" x14ac:dyDescent="0.25">
      <c r="L88" s="16">
        <v>-790</v>
      </c>
    </row>
    <row r="89" spans="12:12" x14ac:dyDescent="0.25">
      <c r="L89" s="16">
        <v>-752</v>
      </c>
    </row>
    <row r="90" spans="12:12" x14ac:dyDescent="0.25">
      <c r="L90" s="16">
        <v>-710</v>
      </c>
    </row>
    <row r="91" spans="12:12" x14ac:dyDescent="0.25">
      <c r="L91" s="16">
        <v>-666</v>
      </c>
    </row>
    <row r="92" spans="12:12" x14ac:dyDescent="0.25">
      <c r="L92" s="16">
        <v>-619</v>
      </c>
    </row>
    <row r="93" spans="12:12" x14ac:dyDescent="0.25">
      <c r="L93" s="16">
        <v>-570</v>
      </c>
    </row>
    <row r="94" spans="12:12" x14ac:dyDescent="0.25">
      <c r="L94" s="16">
        <v>-519</v>
      </c>
    </row>
    <row r="95" spans="12:12" x14ac:dyDescent="0.25">
      <c r="L95" s="16">
        <v>-466</v>
      </c>
    </row>
    <row r="96" spans="12:12" x14ac:dyDescent="0.25">
      <c r="L96" s="16">
        <v>-411</v>
      </c>
    </row>
    <row r="97" spans="12:12" x14ac:dyDescent="0.25">
      <c r="L97" s="16">
        <v>-354</v>
      </c>
    </row>
    <row r="98" spans="12:12" x14ac:dyDescent="0.25">
      <c r="L98" s="16">
        <v>-297</v>
      </c>
    </row>
    <row r="99" spans="12:12" x14ac:dyDescent="0.25">
      <c r="L99" s="16">
        <v>-238</v>
      </c>
    </row>
    <row r="100" spans="12:12" x14ac:dyDescent="0.25">
      <c r="L100" s="16">
        <v>-178</v>
      </c>
    </row>
    <row r="101" spans="12:12" x14ac:dyDescent="0.25">
      <c r="L101" s="16">
        <v>-118</v>
      </c>
    </row>
    <row r="102" spans="12:12" x14ac:dyDescent="0.25">
      <c r="L102" s="16">
        <v>-57</v>
      </c>
    </row>
    <row r="103" spans="12:12" x14ac:dyDescent="0.25">
      <c r="L103" s="16">
        <v>4</v>
      </c>
    </row>
    <row r="104" spans="12:12" x14ac:dyDescent="0.25">
      <c r="L104" s="16">
        <v>65</v>
      </c>
    </row>
    <row r="105" spans="12:12" x14ac:dyDescent="0.25">
      <c r="L105" s="16">
        <v>126</v>
      </c>
    </row>
    <row r="106" spans="12:12" x14ac:dyDescent="0.25">
      <c r="L106" s="16">
        <v>186</v>
      </c>
    </row>
    <row r="107" spans="12:12" x14ac:dyDescent="0.25">
      <c r="L107" s="16">
        <v>245</v>
      </c>
    </row>
    <row r="108" spans="12:12" x14ac:dyDescent="0.25">
      <c r="L108" s="16">
        <v>304</v>
      </c>
    </row>
    <row r="109" spans="12:12" x14ac:dyDescent="0.25">
      <c r="L109" s="16">
        <v>362</v>
      </c>
    </row>
    <row r="110" spans="12:12" x14ac:dyDescent="0.25">
      <c r="L110" s="16">
        <v>418</v>
      </c>
    </row>
    <row r="111" spans="12:12" x14ac:dyDescent="0.25">
      <c r="L111" s="16">
        <v>473</v>
      </c>
    </row>
    <row r="112" spans="12:12" x14ac:dyDescent="0.25">
      <c r="L112" s="16">
        <v>525</v>
      </c>
    </row>
    <row r="113" spans="12:12" x14ac:dyDescent="0.25">
      <c r="L113" s="16">
        <v>576</v>
      </c>
    </row>
    <row r="114" spans="12:12" x14ac:dyDescent="0.25">
      <c r="L114" s="16">
        <v>625</v>
      </c>
    </row>
    <row r="115" spans="12:12" x14ac:dyDescent="0.25">
      <c r="L115" s="16">
        <v>672</v>
      </c>
    </row>
    <row r="116" spans="12:12" x14ac:dyDescent="0.25">
      <c r="L116" s="16">
        <v>715</v>
      </c>
    </row>
    <row r="117" spans="12:12" x14ac:dyDescent="0.25">
      <c r="L117" s="16">
        <v>757</v>
      </c>
    </row>
    <row r="118" spans="12:12" x14ac:dyDescent="0.25">
      <c r="L118" s="16">
        <v>795</v>
      </c>
    </row>
    <row r="119" spans="12:12" x14ac:dyDescent="0.25">
      <c r="L119" s="16">
        <v>831</v>
      </c>
    </row>
    <row r="120" spans="12:12" x14ac:dyDescent="0.25">
      <c r="L120" s="16">
        <v>863</v>
      </c>
    </row>
    <row r="121" spans="12:12" x14ac:dyDescent="0.25">
      <c r="L121" s="16">
        <v>892</v>
      </c>
    </row>
    <row r="122" spans="12:12" x14ac:dyDescent="0.25">
      <c r="L122" s="16">
        <v>918</v>
      </c>
    </row>
    <row r="123" spans="12:12" x14ac:dyDescent="0.25">
      <c r="L123" s="16">
        <v>941</v>
      </c>
    </row>
    <row r="124" spans="12:12" x14ac:dyDescent="0.25">
      <c r="L124" s="16">
        <v>960</v>
      </c>
    </row>
    <row r="125" spans="12:12" x14ac:dyDescent="0.25">
      <c r="L125" s="16">
        <v>975</v>
      </c>
    </row>
    <row r="126" spans="12:12" x14ac:dyDescent="0.25">
      <c r="L126" s="16">
        <v>987</v>
      </c>
    </row>
    <row r="127" spans="12:12" x14ac:dyDescent="0.25">
      <c r="L127" s="16">
        <v>995</v>
      </c>
    </row>
    <row r="128" spans="12:12" x14ac:dyDescent="0.25">
      <c r="L128" s="16">
        <v>999</v>
      </c>
    </row>
    <row r="129" spans="12:12" x14ac:dyDescent="0.25">
      <c r="L129" s="16">
        <v>1000</v>
      </c>
    </row>
    <row r="130" spans="12:12" x14ac:dyDescent="0.25">
      <c r="L130" s="16">
        <v>996</v>
      </c>
    </row>
    <row r="131" spans="12:12" x14ac:dyDescent="0.25">
      <c r="L131" s="16">
        <v>990</v>
      </c>
    </row>
    <row r="132" spans="12:12" x14ac:dyDescent="0.25">
      <c r="L132" s="16">
        <v>979</v>
      </c>
    </row>
    <row r="133" spans="12:12" x14ac:dyDescent="0.25">
      <c r="L133" s="16">
        <v>965</v>
      </c>
    </row>
    <row r="134" spans="12:12" x14ac:dyDescent="0.25">
      <c r="L134" s="16">
        <v>947</v>
      </c>
    </row>
    <row r="135" spans="12:12" x14ac:dyDescent="0.25">
      <c r="L135" s="16">
        <v>926</v>
      </c>
    </row>
    <row r="136" spans="12:12" x14ac:dyDescent="0.25">
      <c r="L136" s="16">
        <v>901</v>
      </c>
    </row>
    <row r="137" spans="12:12" x14ac:dyDescent="0.25">
      <c r="L137" s="16">
        <v>873</v>
      </c>
    </row>
    <row r="138" spans="12:12" x14ac:dyDescent="0.25">
      <c r="L138" s="16">
        <v>842</v>
      </c>
    </row>
    <row r="139" spans="12:12" x14ac:dyDescent="0.25">
      <c r="L139" s="16">
        <v>807</v>
      </c>
    </row>
    <row r="140" spans="12:12" x14ac:dyDescent="0.25">
      <c r="L140" s="16">
        <v>770</v>
      </c>
    </row>
    <row r="141" spans="12:12" x14ac:dyDescent="0.25">
      <c r="L141" s="16">
        <v>730</v>
      </c>
    </row>
    <row r="142" spans="12:12" x14ac:dyDescent="0.25">
      <c r="L142" s="16">
        <v>687</v>
      </c>
    </row>
    <row r="143" spans="12:12" x14ac:dyDescent="0.25">
      <c r="L143" s="16">
        <v>641</v>
      </c>
    </row>
    <row r="144" spans="12:12" x14ac:dyDescent="0.25">
      <c r="L144" s="16">
        <v>593</v>
      </c>
    </row>
    <row r="145" spans="12:12" x14ac:dyDescent="0.25">
      <c r="L145" s="16">
        <v>543</v>
      </c>
    </row>
    <row r="146" spans="12:12" x14ac:dyDescent="0.25">
      <c r="L146" s="16">
        <v>490</v>
      </c>
    </row>
    <row r="147" spans="12:12" x14ac:dyDescent="0.25">
      <c r="L147" s="16">
        <v>436</v>
      </c>
    </row>
    <row r="148" spans="12:12" x14ac:dyDescent="0.25">
      <c r="L148" s="16">
        <v>381</v>
      </c>
    </row>
    <row r="149" spans="12:12" x14ac:dyDescent="0.25">
      <c r="L149" s="16">
        <v>324</v>
      </c>
    </row>
    <row r="150" spans="12:12" x14ac:dyDescent="0.25">
      <c r="L150" s="16">
        <v>265</v>
      </c>
    </row>
    <row r="151" spans="12:12" x14ac:dyDescent="0.25">
      <c r="L151" s="16">
        <v>206</v>
      </c>
    </row>
    <row r="152" spans="12:12" x14ac:dyDescent="0.25">
      <c r="L152" s="16">
        <v>146</v>
      </c>
    </row>
    <row r="153" spans="12:12" x14ac:dyDescent="0.25">
      <c r="L153" s="16">
        <v>85</v>
      </c>
    </row>
    <row r="154" spans="12:12" x14ac:dyDescent="0.25">
      <c r="L154" s="16">
        <v>24</v>
      </c>
    </row>
    <row r="155" spans="12:12" x14ac:dyDescent="0.25">
      <c r="L155" s="16">
        <v>-37</v>
      </c>
    </row>
    <row r="156" spans="12:12" x14ac:dyDescent="0.25">
      <c r="L156" s="16">
        <v>-97</v>
      </c>
    </row>
    <row r="157" spans="12:12" x14ac:dyDescent="0.25">
      <c r="L157" s="16">
        <v>-158</v>
      </c>
    </row>
    <row r="158" spans="12:12" x14ac:dyDescent="0.25">
      <c r="L158" s="16">
        <v>-218</v>
      </c>
    </row>
    <row r="159" spans="12:12" x14ac:dyDescent="0.25">
      <c r="L159" s="16">
        <v>-277</v>
      </c>
    </row>
    <row r="160" spans="12:12" x14ac:dyDescent="0.25">
      <c r="L160" s="16">
        <v>-335</v>
      </c>
    </row>
    <row r="161" spans="12:12" x14ac:dyDescent="0.25">
      <c r="L161" s="16">
        <v>-392</v>
      </c>
    </row>
    <row r="162" spans="12:12" x14ac:dyDescent="0.25">
      <c r="L162" s="16">
        <v>-447</v>
      </c>
    </row>
    <row r="163" spans="12:12" x14ac:dyDescent="0.25">
      <c r="L163" s="16">
        <v>-501</v>
      </c>
    </row>
    <row r="164" spans="12:12" x14ac:dyDescent="0.25">
      <c r="L164" s="16">
        <v>-553</v>
      </c>
    </row>
    <row r="165" spans="12:12" x14ac:dyDescent="0.25">
      <c r="L165" s="16">
        <v>-603</v>
      </c>
    </row>
    <row r="166" spans="12:12" x14ac:dyDescent="0.25">
      <c r="L166" s="16">
        <v>-650</v>
      </c>
    </row>
    <row r="167" spans="12:12" x14ac:dyDescent="0.25">
      <c r="L167" s="16">
        <v>-695</v>
      </c>
    </row>
    <row r="168" spans="12:12" x14ac:dyDescent="0.25">
      <c r="L168" s="16">
        <v>-738</v>
      </c>
    </row>
    <row r="169" spans="12:12" x14ac:dyDescent="0.25">
      <c r="L169" s="16">
        <v>-778</v>
      </c>
    </row>
    <row r="170" spans="12:12" x14ac:dyDescent="0.25">
      <c r="L170" s="16">
        <v>-814</v>
      </c>
    </row>
    <row r="171" spans="12:12" x14ac:dyDescent="0.25">
      <c r="L171" s="16">
        <v>-848</v>
      </c>
    </row>
    <row r="172" spans="12:12" x14ac:dyDescent="0.25">
      <c r="L172" s="16">
        <v>-879</v>
      </c>
    </row>
    <row r="173" spans="12:12" x14ac:dyDescent="0.25">
      <c r="L173" s="16">
        <v>-906</v>
      </c>
    </row>
    <row r="174" spans="12:12" x14ac:dyDescent="0.25">
      <c r="L174" s="16">
        <v>-930</v>
      </c>
    </row>
    <row r="175" spans="12:12" x14ac:dyDescent="0.25">
      <c r="L175" s="16">
        <v>-951</v>
      </c>
    </row>
    <row r="176" spans="12:12" x14ac:dyDescent="0.25">
      <c r="L176" s="16">
        <v>-968</v>
      </c>
    </row>
    <row r="177" spans="12:12" x14ac:dyDescent="0.25">
      <c r="L177" s="16">
        <v>-981</v>
      </c>
    </row>
    <row r="178" spans="12:12" x14ac:dyDescent="0.25">
      <c r="L178" s="16">
        <v>-991</v>
      </c>
    </row>
    <row r="179" spans="12:12" x14ac:dyDescent="0.25">
      <c r="L179" s="16">
        <v>-997</v>
      </c>
    </row>
    <row r="180" spans="12:12" x14ac:dyDescent="0.25">
      <c r="L180" s="16">
        <v>-1000</v>
      </c>
    </row>
    <row r="181" spans="12:12" x14ac:dyDescent="0.25">
      <c r="L181" s="16">
        <v>-998</v>
      </c>
    </row>
    <row r="182" spans="12:12" x14ac:dyDescent="0.25">
      <c r="L182" s="16">
        <v>-993</v>
      </c>
    </row>
    <row r="183" spans="12:12" x14ac:dyDescent="0.25">
      <c r="L183" s="16">
        <v>-984</v>
      </c>
    </row>
    <row r="184" spans="12:12" x14ac:dyDescent="0.25">
      <c r="L184" s="16">
        <v>-972</v>
      </c>
    </row>
    <row r="185" spans="12:12" x14ac:dyDescent="0.25">
      <c r="L185" s="16">
        <v>-956</v>
      </c>
    </row>
    <row r="186" spans="12:12" x14ac:dyDescent="0.25">
      <c r="L186" s="16">
        <v>-936</v>
      </c>
    </row>
    <row r="187" spans="12:12" x14ac:dyDescent="0.25">
      <c r="L187" s="16">
        <v>-913</v>
      </c>
    </row>
    <row r="188" spans="12:12" x14ac:dyDescent="0.25">
      <c r="L188" s="16">
        <v>-887</v>
      </c>
    </row>
    <row r="189" spans="12:12" x14ac:dyDescent="0.25">
      <c r="L189" s="16">
        <v>-857</v>
      </c>
    </row>
    <row r="190" spans="12:12" x14ac:dyDescent="0.25">
      <c r="L190" s="16">
        <v>-824</v>
      </c>
    </row>
    <row r="191" spans="12:12" x14ac:dyDescent="0.25">
      <c r="L191" s="16">
        <v>-788</v>
      </c>
    </row>
    <row r="192" spans="12:12" x14ac:dyDescent="0.25">
      <c r="L192" s="16">
        <v>-749</v>
      </c>
    </row>
    <row r="193" spans="12:12" x14ac:dyDescent="0.25">
      <c r="L193" s="16">
        <v>-707</v>
      </c>
    </row>
    <row r="194" spans="12:12" x14ac:dyDescent="0.25">
      <c r="L194" s="16">
        <v>-662</v>
      </c>
    </row>
    <row r="195" spans="12:12" x14ac:dyDescent="0.25">
      <c r="L195" s="16">
        <v>-615</v>
      </c>
    </row>
    <row r="196" spans="12:12" x14ac:dyDescent="0.25">
      <c r="L196" s="16">
        <v>-566</v>
      </c>
    </row>
    <row r="197" spans="12:12" x14ac:dyDescent="0.25">
      <c r="L197" s="16">
        <v>-515</v>
      </c>
    </row>
    <row r="198" spans="12:12" x14ac:dyDescent="0.25">
      <c r="L198" s="16">
        <v>-462</v>
      </c>
    </row>
    <row r="199" spans="12:12" x14ac:dyDescent="0.25">
      <c r="L199" s="16">
        <v>-407</v>
      </c>
    </row>
    <row r="200" spans="12:12" x14ac:dyDescent="0.25">
      <c r="L200" s="16">
        <v>-350</v>
      </c>
    </row>
    <row r="201" spans="12:12" x14ac:dyDescent="0.25">
      <c r="L201" s="16">
        <v>-293</v>
      </c>
    </row>
    <row r="202" spans="12:12" x14ac:dyDescent="0.25">
      <c r="L202" s="16">
        <v>-234</v>
      </c>
    </row>
    <row r="203" spans="12:12" x14ac:dyDescent="0.25">
      <c r="L203" s="16">
        <v>-174</v>
      </c>
    </row>
    <row r="204" spans="12:12" x14ac:dyDescent="0.25">
      <c r="L204" s="16">
        <v>-114</v>
      </c>
    </row>
    <row r="205" spans="12:12" x14ac:dyDescent="0.25">
      <c r="L205" s="16">
        <v>-53</v>
      </c>
    </row>
    <row r="206" spans="12:12" x14ac:dyDescent="0.25">
      <c r="L206" s="16">
        <v>8</v>
      </c>
    </row>
    <row r="207" spans="12:12" x14ac:dyDescent="0.25">
      <c r="L207" s="16">
        <v>69</v>
      </c>
    </row>
    <row r="208" spans="12:12" x14ac:dyDescent="0.25">
      <c r="L208" s="16">
        <v>130</v>
      </c>
    </row>
    <row r="209" spans="12:12" x14ac:dyDescent="0.25">
      <c r="L209" s="16">
        <v>190</v>
      </c>
    </row>
    <row r="210" spans="12:12" x14ac:dyDescent="0.25">
      <c r="L210" s="16">
        <v>250</v>
      </c>
    </row>
    <row r="211" spans="12:12" x14ac:dyDescent="0.25">
      <c r="L211" s="16">
        <v>308</v>
      </c>
    </row>
    <row r="212" spans="12:12" x14ac:dyDescent="0.25">
      <c r="L212" s="16">
        <v>366</v>
      </c>
    </row>
    <row r="213" spans="12:12" x14ac:dyDescent="0.25">
      <c r="L213" s="16">
        <v>422</v>
      </c>
    </row>
    <row r="214" spans="12:12" x14ac:dyDescent="0.25">
      <c r="L214" s="16">
        <v>476</v>
      </c>
    </row>
    <row r="215" spans="12:12" x14ac:dyDescent="0.25">
      <c r="L215" s="16">
        <v>529</v>
      </c>
    </row>
    <row r="216" spans="12:12" x14ac:dyDescent="0.25">
      <c r="L216" s="16">
        <v>580</v>
      </c>
    </row>
    <row r="217" spans="12:12" x14ac:dyDescent="0.25">
      <c r="L217" s="16">
        <v>628</v>
      </c>
    </row>
    <row r="218" spans="12:12" x14ac:dyDescent="0.25">
      <c r="L218" s="16">
        <v>675</v>
      </c>
    </row>
    <row r="219" spans="12:12" x14ac:dyDescent="0.25">
      <c r="L219" s="16">
        <v>718</v>
      </c>
    </row>
    <row r="220" spans="12:12" x14ac:dyDescent="0.25">
      <c r="L220" s="16">
        <v>759</v>
      </c>
    </row>
    <row r="221" spans="12:12" x14ac:dyDescent="0.25">
      <c r="L221" s="16">
        <v>798</v>
      </c>
    </row>
    <row r="222" spans="12:12" x14ac:dyDescent="0.25">
      <c r="L222" s="16">
        <v>833</v>
      </c>
    </row>
    <row r="223" spans="12:12" x14ac:dyDescent="0.25">
      <c r="L223" s="16">
        <v>865</v>
      </c>
    </row>
    <row r="224" spans="12:12" x14ac:dyDescent="0.25">
      <c r="L224" s="16">
        <v>894</v>
      </c>
    </row>
    <row r="225" spans="12:12" x14ac:dyDescent="0.25">
      <c r="L225" s="16">
        <v>920</v>
      </c>
    </row>
    <row r="226" spans="12:12" x14ac:dyDescent="0.25">
      <c r="L226" s="16">
        <v>942</v>
      </c>
    </row>
    <row r="227" spans="12:12" x14ac:dyDescent="0.25">
      <c r="L227" s="16">
        <v>961</v>
      </c>
    </row>
    <row r="228" spans="12:12" x14ac:dyDescent="0.25">
      <c r="L228" s="16">
        <v>976</v>
      </c>
    </row>
    <row r="229" spans="12:12" x14ac:dyDescent="0.25">
      <c r="L229" s="16">
        <v>987</v>
      </c>
    </row>
    <row r="230" spans="12:12" x14ac:dyDescent="0.25">
      <c r="L230" s="16">
        <v>995</v>
      </c>
    </row>
    <row r="231" spans="12:12" x14ac:dyDescent="0.25">
      <c r="L231" s="16">
        <v>999</v>
      </c>
    </row>
    <row r="232" spans="12:12" x14ac:dyDescent="0.25">
      <c r="L232" s="16">
        <v>1000</v>
      </c>
    </row>
    <row r="233" spans="12:12" x14ac:dyDescent="0.25">
      <c r="L233" s="16">
        <v>996</v>
      </c>
    </row>
    <row r="234" spans="12:12" x14ac:dyDescent="0.25">
      <c r="L234" s="16">
        <v>989</v>
      </c>
    </row>
    <row r="235" spans="12:12" x14ac:dyDescent="0.25">
      <c r="L235" s="16">
        <v>978</v>
      </c>
    </row>
    <row r="236" spans="12:12" x14ac:dyDescent="0.25">
      <c r="L236" s="16">
        <v>964</v>
      </c>
    </row>
    <row r="237" spans="12:12" x14ac:dyDescent="0.25">
      <c r="L237" s="16">
        <v>946</v>
      </c>
    </row>
    <row r="238" spans="12:12" x14ac:dyDescent="0.25">
      <c r="L238" s="16">
        <v>924</v>
      </c>
    </row>
    <row r="239" spans="12:12" x14ac:dyDescent="0.25">
      <c r="L239" s="16">
        <v>899</v>
      </c>
    </row>
    <row r="240" spans="12:12" x14ac:dyDescent="0.25">
      <c r="L240" s="16">
        <v>871</v>
      </c>
    </row>
    <row r="241" spans="12:12" x14ac:dyDescent="0.25">
      <c r="L241" s="16">
        <v>840</v>
      </c>
    </row>
    <row r="242" spans="12:12" x14ac:dyDescent="0.25">
      <c r="L242" s="16">
        <v>805</v>
      </c>
    </row>
    <row r="243" spans="12:12" x14ac:dyDescent="0.25">
      <c r="L243" s="16">
        <v>767</v>
      </c>
    </row>
    <row r="244" spans="12:12" x14ac:dyDescent="0.25">
      <c r="L244" s="16">
        <v>727</v>
      </c>
    </row>
    <row r="245" spans="12:12" x14ac:dyDescent="0.25">
      <c r="L245" s="16">
        <v>684</v>
      </c>
    </row>
    <row r="246" spans="12:12" x14ac:dyDescent="0.25">
      <c r="L246" s="16">
        <v>638</v>
      </c>
    </row>
    <row r="247" spans="12:12" x14ac:dyDescent="0.25">
      <c r="L247" s="16">
        <v>590</v>
      </c>
    </row>
    <row r="248" spans="12:12" x14ac:dyDescent="0.25">
      <c r="L248" s="16">
        <v>539</v>
      </c>
    </row>
    <row r="249" spans="12:12" x14ac:dyDescent="0.25">
      <c r="L249" s="16">
        <v>487</v>
      </c>
    </row>
    <row r="250" spans="12:12" x14ac:dyDescent="0.25">
      <c r="L250" s="16">
        <v>433</v>
      </c>
    </row>
    <row r="251" spans="12:12" x14ac:dyDescent="0.25">
      <c r="L251" s="16">
        <v>377</v>
      </c>
    </row>
    <row r="252" spans="12:12" x14ac:dyDescent="0.25">
      <c r="L252" s="16">
        <v>320</v>
      </c>
    </row>
    <row r="253" spans="12:12" x14ac:dyDescent="0.25">
      <c r="L253" s="16">
        <v>261</v>
      </c>
    </row>
    <row r="254" spans="12:12" x14ac:dyDescent="0.25">
      <c r="L254" s="16">
        <v>202</v>
      </c>
    </row>
    <row r="255" spans="12:12" x14ac:dyDescent="0.25">
      <c r="L255" s="16">
        <v>142</v>
      </c>
    </row>
    <row r="256" spans="12:12" x14ac:dyDescent="0.25">
      <c r="L256" s="16">
        <v>81</v>
      </c>
    </row>
    <row r="257" spans="12:12" x14ac:dyDescent="0.25">
      <c r="L257" s="16">
        <v>20</v>
      </c>
    </row>
    <row r="258" spans="12:12" x14ac:dyDescent="0.25">
      <c r="L258" s="16">
        <v>-41</v>
      </c>
    </row>
    <row r="259" spans="12:12" x14ac:dyDescent="0.25">
      <c r="L259" s="16">
        <v>-102</v>
      </c>
    </row>
    <row r="260" spans="12:12" x14ac:dyDescent="0.25">
      <c r="L260" s="16">
        <v>-162</v>
      </c>
    </row>
    <row r="261" spans="12:12" x14ac:dyDescent="0.25">
      <c r="L261" s="16">
        <v>-222</v>
      </c>
    </row>
    <row r="262" spans="12:12" x14ac:dyDescent="0.25">
      <c r="L262" s="16">
        <v>-281</v>
      </c>
    </row>
    <row r="263" spans="12:12" x14ac:dyDescent="0.25">
      <c r="L263" s="16">
        <v>-339</v>
      </c>
    </row>
    <row r="264" spans="12:12" x14ac:dyDescent="0.25">
      <c r="L264" s="16">
        <v>-396</v>
      </c>
    </row>
    <row r="265" spans="12:12" x14ac:dyDescent="0.25">
      <c r="L265" s="16">
        <v>-451</v>
      </c>
    </row>
    <row r="266" spans="12:12" x14ac:dyDescent="0.25">
      <c r="L266" s="16">
        <v>-505</v>
      </c>
    </row>
    <row r="267" spans="12:12" x14ac:dyDescent="0.25">
      <c r="L267" s="16">
        <v>-557</v>
      </c>
    </row>
    <row r="268" spans="12:12" x14ac:dyDescent="0.25">
      <c r="L268" s="16">
        <v>-606</v>
      </c>
    </row>
    <row r="269" spans="12:12" x14ac:dyDescent="0.25">
      <c r="L269" s="16">
        <v>-654</v>
      </c>
    </row>
    <row r="270" spans="12:12" x14ac:dyDescent="0.25">
      <c r="L270" s="16">
        <v>-698</v>
      </c>
    </row>
    <row r="271" spans="12:12" x14ac:dyDescent="0.25">
      <c r="L271" s="16">
        <v>-741</v>
      </c>
    </row>
    <row r="272" spans="12:12" x14ac:dyDescent="0.25">
      <c r="L272" s="16">
        <v>-780</v>
      </c>
    </row>
    <row r="273" spans="12:12" x14ac:dyDescent="0.25">
      <c r="L273" s="16">
        <v>-817</v>
      </c>
    </row>
    <row r="274" spans="12:12" x14ac:dyDescent="0.25">
      <c r="L274" s="16">
        <v>-851</v>
      </c>
    </row>
    <row r="275" spans="12:12" x14ac:dyDescent="0.25">
      <c r="L275" s="16">
        <v>-881</v>
      </c>
    </row>
    <row r="276" spans="12:12" x14ac:dyDescent="0.25">
      <c r="L276" s="16">
        <v>-908</v>
      </c>
    </row>
    <row r="277" spans="12:12" x14ac:dyDescent="0.25">
      <c r="L277" s="16">
        <v>-932</v>
      </c>
    </row>
    <row r="278" spans="12:12" x14ac:dyDescent="0.25">
      <c r="L278" s="16">
        <v>-952</v>
      </c>
    </row>
    <row r="279" spans="12:12" x14ac:dyDescent="0.25">
      <c r="L279" s="16">
        <v>-969</v>
      </c>
    </row>
    <row r="280" spans="12:12" x14ac:dyDescent="0.25">
      <c r="L280" s="16">
        <v>-982</v>
      </c>
    </row>
    <row r="281" spans="12:12" x14ac:dyDescent="0.25">
      <c r="L281" s="16">
        <v>-992</v>
      </c>
    </row>
    <row r="282" spans="12:12" x14ac:dyDescent="0.25">
      <c r="L282" s="16">
        <v>-998</v>
      </c>
    </row>
    <row r="283" spans="12:12" x14ac:dyDescent="0.25">
      <c r="L283" s="16">
        <v>-1000</v>
      </c>
    </row>
    <row r="284" spans="12:12" x14ac:dyDescent="0.25">
      <c r="L284" s="16">
        <v>-998</v>
      </c>
    </row>
    <row r="285" spans="12:12" x14ac:dyDescent="0.25">
      <c r="L285" s="16">
        <v>-993</v>
      </c>
    </row>
    <row r="286" spans="12:12" x14ac:dyDescent="0.25">
      <c r="L286" s="16">
        <v>-984</v>
      </c>
    </row>
    <row r="287" spans="12:12" x14ac:dyDescent="0.25">
      <c r="L287" s="16">
        <v>-971</v>
      </c>
    </row>
    <row r="288" spans="12:12" x14ac:dyDescent="0.25">
      <c r="L288" s="16">
        <v>-955</v>
      </c>
    </row>
    <row r="289" spans="12:12" x14ac:dyDescent="0.25">
      <c r="L289" s="16">
        <v>-935</v>
      </c>
    </row>
    <row r="290" spans="12:12" x14ac:dyDescent="0.25">
      <c r="L290" s="16">
        <v>-911</v>
      </c>
    </row>
    <row r="291" spans="12:12" x14ac:dyDescent="0.25">
      <c r="L291" s="16">
        <v>-885</v>
      </c>
    </row>
    <row r="292" spans="12:12" x14ac:dyDescent="0.25">
      <c r="L292" s="16">
        <v>-855</v>
      </c>
    </row>
    <row r="293" spans="12:12" x14ac:dyDescent="0.25">
      <c r="L293" s="16">
        <v>-821</v>
      </c>
    </row>
    <row r="294" spans="12:12" x14ac:dyDescent="0.25">
      <c r="L294" s="16">
        <v>-785</v>
      </c>
    </row>
    <row r="295" spans="12:12" x14ac:dyDescent="0.25">
      <c r="L295" s="16">
        <v>-746</v>
      </c>
    </row>
    <row r="296" spans="12:12" x14ac:dyDescent="0.25">
      <c r="L296" s="16">
        <v>-704</v>
      </c>
    </row>
    <row r="297" spans="12:12" x14ac:dyDescent="0.25">
      <c r="L297" s="16">
        <v>-659</v>
      </c>
    </row>
    <row r="298" spans="12:12" x14ac:dyDescent="0.25">
      <c r="L298" s="16">
        <v>-612</v>
      </c>
    </row>
    <row r="299" spans="12:12" x14ac:dyDescent="0.25">
      <c r="L299" s="16">
        <v>-563</v>
      </c>
    </row>
    <row r="300" spans="12:12" x14ac:dyDescent="0.25">
      <c r="L300" s="16">
        <v>-511</v>
      </c>
    </row>
    <row r="301" spans="12:12" x14ac:dyDescent="0.25">
      <c r="L301" s="16">
        <v>-458</v>
      </c>
    </row>
    <row r="302" spans="12:12" x14ac:dyDescent="0.25">
      <c r="L302" s="16">
        <v>-403</v>
      </c>
    </row>
    <row r="303" spans="12:12" x14ac:dyDescent="0.25">
      <c r="L303" s="16">
        <v>-346</v>
      </c>
    </row>
    <row r="304" spans="12:12" x14ac:dyDescent="0.25">
      <c r="L304" s="16">
        <v>-288</v>
      </c>
    </row>
    <row r="305" spans="12:12" x14ac:dyDescent="0.25">
      <c r="L305" s="16">
        <v>-229</v>
      </c>
    </row>
    <row r="306" spans="12:12" x14ac:dyDescent="0.25">
      <c r="L306" s="16">
        <v>-170</v>
      </c>
    </row>
    <row r="307" spans="12:12" x14ac:dyDescent="0.25">
      <c r="L307" s="16">
        <v>-109</v>
      </c>
    </row>
    <row r="308" spans="12:12" x14ac:dyDescent="0.25">
      <c r="L308" s="16">
        <v>-48</v>
      </c>
    </row>
    <row r="309" spans="12:12" x14ac:dyDescent="0.25">
      <c r="L309" s="16">
        <v>13</v>
      </c>
    </row>
    <row r="310" spans="12:12" x14ac:dyDescent="0.25">
      <c r="L310" s="16">
        <v>74</v>
      </c>
    </row>
    <row r="311" spans="12:12" x14ac:dyDescent="0.25">
      <c r="L311" s="16">
        <v>134</v>
      </c>
    </row>
    <row r="312" spans="12:12" x14ac:dyDescent="0.25">
      <c r="L312" s="16">
        <v>194</v>
      </c>
    </row>
    <row r="313" spans="12:12" x14ac:dyDescent="0.25">
      <c r="L313" s="16">
        <v>254</v>
      </c>
    </row>
    <row r="314" spans="12:12" x14ac:dyDescent="0.25">
      <c r="L314" s="16">
        <v>312</v>
      </c>
    </row>
    <row r="315" spans="12:12" x14ac:dyDescent="0.25">
      <c r="L315" s="16">
        <v>370</v>
      </c>
    </row>
    <row r="316" spans="12:12" x14ac:dyDescent="0.25">
      <c r="L316" s="16">
        <v>426</v>
      </c>
    </row>
    <row r="317" spans="12:12" x14ac:dyDescent="0.25">
      <c r="L317" s="16">
        <v>480</v>
      </c>
    </row>
    <row r="318" spans="12:12" x14ac:dyDescent="0.25">
      <c r="L318" s="16">
        <v>533</v>
      </c>
    </row>
    <row r="319" spans="12:12" x14ac:dyDescent="0.25">
      <c r="L319" s="16">
        <v>583</v>
      </c>
    </row>
    <row r="320" spans="12:12" x14ac:dyDescent="0.25">
      <c r="L320" s="16">
        <v>632</v>
      </c>
    </row>
    <row r="321" spans="12:12" x14ac:dyDescent="0.25">
      <c r="L321" s="16">
        <v>678</v>
      </c>
    </row>
    <row r="322" spans="12:12" x14ac:dyDescent="0.25">
      <c r="L322" s="16">
        <v>721</v>
      </c>
    </row>
    <row r="323" spans="12:12" x14ac:dyDescent="0.25">
      <c r="L323" s="16">
        <v>762</v>
      </c>
    </row>
    <row r="324" spans="12:12" x14ac:dyDescent="0.25">
      <c r="L324" s="16">
        <v>800</v>
      </c>
    </row>
    <row r="325" spans="12:12" x14ac:dyDescent="0.25">
      <c r="L325" s="16">
        <v>835</v>
      </c>
    </row>
    <row r="326" spans="12:12" x14ac:dyDescent="0.25">
      <c r="L326" s="16">
        <v>867</v>
      </c>
    </row>
    <row r="327" spans="12:12" x14ac:dyDescent="0.25">
      <c r="L327" s="16">
        <v>896</v>
      </c>
    </row>
    <row r="328" spans="12:12" x14ac:dyDescent="0.25">
      <c r="L328" s="16">
        <v>921</v>
      </c>
    </row>
    <row r="329" spans="12:12" x14ac:dyDescent="0.25">
      <c r="L329" s="16">
        <v>943</v>
      </c>
    </row>
    <row r="330" spans="12:12" x14ac:dyDescent="0.25">
      <c r="L330" s="16">
        <v>962</v>
      </c>
    </row>
    <row r="331" spans="12:12" x14ac:dyDescent="0.25">
      <c r="L331" s="16">
        <v>977</v>
      </c>
    </row>
    <row r="332" spans="12:12" x14ac:dyDescent="0.25">
      <c r="L332" s="16">
        <v>988</v>
      </c>
    </row>
    <row r="333" spans="12:12" x14ac:dyDescent="0.25">
      <c r="L333" s="16">
        <v>995</v>
      </c>
    </row>
    <row r="334" spans="12:12" x14ac:dyDescent="0.25">
      <c r="L334" s="16">
        <v>999</v>
      </c>
    </row>
    <row r="335" spans="12:12" x14ac:dyDescent="0.25">
      <c r="L335" s="16">
        <v>999</v>
      </c>
    </row>
    <row r="336" spans="12:12" x14ac:dyDescent="0.25">
      <c r="L336" s="16">
        <v>996</v>
      </c>
    </row>
    <row r="337" spans="12:12" x14ac:dyDescent="0.25">
      <c r="L337" s="16">
        <v>988</v>
      </c>
    </row>
    <row r="338" spans="12:12" x14ac:dyDescent="0.25">
      <c r="L338" s="16">
        <v>977</v>
      </c>
    </row>
    <row r="339" spans="12:12" x14ac:dyDescent="0.25">
      <c r="L339" s="16">
        <v>963</v>
      </c>
    </row>
    <row r="340" spans="12:12" x14ac:dyDescent="0.25">
      <c r="L340" s="16">
        <v>945</v>
      </c>
    </row>
    <row r="341" spans="12:12" x14ac:dyDescent="0.25">
      <c r="L341" s="16">
        <v>923</v>
      </c>
    </row>
    <row r="342" spans="12:12" x14ac:dyDescent="0.25">
      <c r="L342" s="16">
        <v>898</v>
      </c>
    </row>
    <row r="343" spans="12:12" x14ac:dyDescent="0.25">
      <c r="L343" s="16">
        <v>869</v>
      </c>
    </row>
    <row r="344" spans="12:12" x14ac:dyDescent="0.25">
      <c r="L344" s="16">
        <v>837</v>
      </c>
    </row>
    <row r="345" spans="12:12" x14ac:dyDescent="0.25">
      <c r="L345" s="16">
        <v>802</v>
      </c>
    </row>
    <row r="346" spans="12:12" x14ac:dyDescent="0.25">
      <c r="L346" s="16">
        <v>765</v>
      </c>
    </row>
    <row r="347" spans="12:12" x14ac:dyDescent="0.25">
      <c r="L347" s="16">
        <v>724</v>
      </c>
    </row>
    <row r="348" spans="12:12" x14ac:dyDescent="0.25">
      <c r="L348" s="16">
        <v>680</v>
      </c>
    </row>
    <row r="349" spans="12:12" x14ac:dyDescent="0.25">
      <c r="L349" s="16">
        <v>634</v>
      </c>
    </row>
    <row r="350" spans="12:12" x14ac:dyDescent="0.25">
      <c r="L350" s="16">
        <v>586</v>
      </c>
    </row>
    <row r="351" spans="12:12" x14ac:dyDescent="0.25">
      <c r="L351" s="16">
        <v>536</v>
      </c>
    </row>
    <row r="352" spans="12:12" x14ac:dyDescent="0.25">
      <c r="L352" s="16">
        <v>483</v>
      </c>
    </row>
    <row r="353" spans="12:12" x14ac:dyDescent="0.25">
      <c r="L353" s="16">
        <v>429</v>
      </c>
    </row>
    <row r="354" spans="12:12" x14ac:dyDescent="0.25">
      <c r="L354" s="16">
        <v>373</v>
      </c>
    </row>
    <row r="355" spans="12:12" x14ac:dyDescent="0.25">
      <c r="L355" s="16">
        <v>316</v>
      </c>
    </row>
    <row r="356" spans="12:12" x14ac:dyDescent="0.25">
      <c r="L356" s="16">
        <v>257</v>
      </c>
    </row>
    <row r="357" spans="12:12" x14ac:dyDescent="0.25">
      <c r="L357" s="16">
        <v>198</v>
      </c>
    </row>
    <row r="358" spans="12:12" x14ac:dyDescent="0.25">
      <c r="L358" s="16">
        <v>137</v>
      </c>
    </row>
    <row r="359" spans="12:12" x14ac:dyDescent="0.25">
      <c r="L359" s="16">
        <v>77</v>
      </c>
    </row>
    <row r="360" spans="12:12" x14ac:dyDescent="0.25">
      <c r="L360" s="16">
        <v>16</v>
      </c>
    </row>
    <row r="361" spans="12:12" x14ac:dyDescent="0.25">
      <c r="L361" s="16">
        <v>-45</v>
      </c>
    </row>
    <row r="362" spans="12:12" x14ac:dyDescent="0.25">
      <c r="L362" s="16">
        <v>-106</v>
      </c>
    </row>
    <row r="363" spans="12:12" x14ac:dyDescent="0.25">
      <c r="L363" s="16">
        <v>-166</v>
      </c>
    </row>
    <row r="364" spans="12:12" x14ac:dyDescent="0.25">
      <c r="L364" s="16">
        <v>-226</v>
      </c>
    </row>
    <row r="365" spans="12:12" x14ac:dyDescent="0.25">
      <c r="L365" s="16">
        <v>-285</v>
      </c>
    </row>
    <row r="366" spans="12:12" x14ac:dyDescent="0.25">
      <c r="L366" s="16">
        <v>-343</v>
      </c>
    </row>
    <row r="367" spans="12:12" x14ac:dyDescent="0.25">
      <c r="L367" s="16">
        <v>-400</v>
      </c>
    </row>
    <row r="368" spans="12:12" x14ac:dyDescent="0.25">
      <c r="L368" s="16">
        <v>-455</v>
      </c>
    </row>
    <row r="369" spans="12:12" x14ac:dyDescent="0.25">
      <c r="L369" s="16">
        <v>-508</v>
      </c>
    </row>
    <row r="370" spans="12:12" x14ac:dyDescent="0.25">
      <c r="L370" s="16">
        <v>-560</v>
      </c>
    </row>
    <row r="371" spans="12:12" x14ac:dyDescent="0.25">
      <c r="L371" s="16">
        <v>-610</v>
      </c>
    </row>
    <row r="372" spans="12:12" x14ac:dyDescent="0.25">
      <c r="L372" s="16">
        <v>-657</v>
      </c>
    </row>
    <row r="373" spans="12:12" x14ac:dyDescent="0.25">
      <c r="L373" s="16">
        <v>-702</v>
      </c>
    </row>
    <row r="374" spans="12:12" x14ac:dyDescent="0.25">
      <c r="L374" s="16">
        <v>-744</v>
      </c>
    </row>
    <row r="375" spans="12:12" x14ac:dyDescent="0.25">
      <c r="L375" s="16">
        <v>-783</v>
      </c>
    </row>
    <row r="376" spans="12:12" x14ac:dyDescent="0.25">
      <c r="L376" s="16">
        <v>-820</v>
      </c>
    </row>
    <row r="377" spans="12:12" x14ac:dyDescent="0.25">
      <c r="L377" s="16">
        <v>-853</v>
      </c>
    </row>
    <row r="378" spans="12:12" x14ac:dyDescent="0.25">
      <c r="L378" s="16">
        <v>-883</v>
      </c>
    </row>
    <row r="379" spans="12:12" x14ac:dyDescent="0.25">
      <c r="L379" s="16">
        <v>-910</v>
      </c>
    </row>
    <row r="380" spans="12:12" x14ac:dyDescent="0.25">
      <c r="L380" s="16">
        <v>-934</v>
      </c>
    </row>
    <row r="381" spans="12:12" x14ac:dyDescent="0.25">
      <c r="L381" s="16">
        <v>-954</v>
      </c>
    </row>
    <row r="382" spans="12:12" x14ac:dyDescent="0.25">
      <c r="L382" s="16">
        <v>-970</v>
      </c>
    </row>
    <row r="383" spans="12:12" x14ac:dyDescent="0.25">
      <c r="L383" s="16">
        <v>-983</v>
      </c>
    </row>
    <row r="384" spans="12:12" x14ac:dyDescent="0.25">
      <c r="L384" s="16">
        <v>-992</v>
      </c>
    </row>
    <row r="385" spans="12:12" x14ac:dyDescent="0.25">
      <c r="L385" s="16">
        <v>-998</v>
      </c>
    </row>
    <row r="386" spans="12:12" x14ac:dyDescent="0.25">
      <c r="L386" s="16">
        <v>-1000</v>
      </c>
    </row>
    <row r="387" spans="12:12" x14ac:dyDescent="0.25">
      <c r="L387" s="16">
        <v>-998</v>
      </c>
    </row>
    <row r="388" spans="12:12" x14ac:dyDescent="0.25">
      <c r="L388" s="16">
        <v>-992</v>
      </c>
    </row>
    <row r="389" spans="12:12" x14ac:dyDescent="0.25">
      <c r="L389" s="16">
        <v>-983</v>
      </c>
    </row>
    <row r="390" spans="12:12" x14ac:dyDescent="0.25">
      <c r="L390" s="16">
        <v>-970</v>
      </c>
    </row>
    <row r="391" spans="12:12" x14ac:dyDescent="0.25">
      <c r="L391" s="16">
        <v>-953</v>
      </c>
    </row>
    <row r="392" spans="12:12" x14ac:dyDescent="0.25">
      <c r="L392" s="16">
        <v>-933</v>
      </c>
    </row>
    <row r="393" spans="12:12" x14ac:dyDescent="0.25">
      <c r="L393" s="16">
        <v>-910</v>
      </c>
    </row>
    <row r="394" spans="12:12" x14ac:dyDescent="0.25">
      <c r="L394" s="16">
        <v>-883</v>
      </c>
    </row>
    <row r="395" spans="12:12" x14ac:dyDescent="0.25">
      <c r="L395" s="16">
        <v>-852</v>
      </c>
    </row>
    <row r="396" spans="12:12" x14ac:dyDescent="0.25">
      <c r="L396" s="16">
        <v>-819</v>
      </c>
    </row>
    <row r="397" spans="12:12" x14ac:dyDescent="0.25">
      <c r="L397" s="16">
        <v>-782</v>
      </c>
    </row>
    <row r="398" spans="12:12" x14ac:dyDescent="0.25">
      <c r="L398" s="16">
        <v>-743</v>
      </c>
    </row>
    <row r="399" spans="12:12" x14ac:dyDescent="0.25">
      <c r="L399" s="16">
        <v>-701</v>
      </c>
    </row>
    <row r="400" spans="12:12" x14ac:dyDescent="0.25">
      <c r="L400" s="16">
        <v>-656</v>
      </c>
    </row>
    <row r="401" spans="12:12" x14ac:dyDescent="0.25">
      <c r="L401" s="16">
        <v>-609</v>
      </c>
    </row>
    <row r="402" spans="12:12" x14ac:dyDescent="0.25">
      <c r="L402" s="16">
        <v>-559</v>
      </c>
    </row>
    <row r="403" spans="12:12" x14ac:dyDescent="0.25">
      <c r="L403" s="16">
        <v>-508</v>
      </c>
    </row>
    <row r="404" spans="12:12" x14ac:dyDescent="0.25">
      <c r="L404" s="16">
        <v>-454</v>
      </c>
    </row>
    <row r="405" spans="12:12" x14ac:dyDescent="0.25">
      <c r="L405" s="16">
        <v>-399</v>
      </c>
    </row>
    <row r="406" spans="12:12" x14ac:dyDescent="0.25">
      <c r="L406" s="16">
        <v>-342</v>
      </c>
    </row>
    <row r="407" spans="12:12" x14ac:dyDescent="0.25">
      <c r="L407" s="16">
        <v>-284</v>
      </c>
    </row>
    <row r="408" spans="12:12" x14ac:dyDescent="0.25">
      <c r="L408" s="16">
        <v>-225</v>
      </c>
    </row>
    <row r="409" spans="12:12" x14ac:dyDescent="0.25">
      <c r="L409" s="16">
        <v>-165</v>
      </c>
    </row>
    <row r="410" spans="12:12" x14ac:dyDescent="0.25">
      <c r="L410" s="16">
        <v>-105</v>
      </c>
    </row>
    <row r="411" spans="12:12" x14ac:dyDescent="0.25">
      <c r="L411" s="16">
        <v>-44</v>
      </c>
    </row>
    <row r="412" spans="12:12" x14ac:dyDescent="0.25">
      <c r="L412" s="16">
        <v>17</v>
      </c>
    </row>
    <row r="413" spans="12:12" x14ac:dyDescent="0.25">
      <c r="L413" s="16">
        <v>78</v>
      </c>
    </row>
    <row r="414" spans="12:12" x14ac:dyDescent="0.25">
      <c r="L414" s="16">
        <v>139</v>
      </c>
    </row>
    <row r="415" spans="12:12" x14ac:dyDescent="0.25">
      <c r="L415" s="16">
        <v>199</v>
      </c>
    </row>
    <row r="416" spans="12:12" x14ac:dyDescent="0.25">
      <c r="L416" s="16">
        <v>258</v>
      </c>
    </row>
    <row r="417" spans="12:12" x14ac:dyDescent="0.25">
      <c r="L417" s="16">
        <v>317</v>
      </c>
    </row>
    <row r="418" spans="12:12" x14ac:dyDescent="0.25">
      <c r="L418" s="16">
        <v>374</v>
      </c>
    </row>
    <row r="419" spans="12:12" x14ac:dyDescent="0.25">
      <c r="L419" s="16">
        <v>430</v>
      </c>
    </row>
    <row r="420" spans="12:12" x14ac:dyDescent="0.25">
      <c r="L420" s="16">
        <v>484</v>
      </c>
    </row>
    <row r="421" spans="12:12" x14ac:dyDescent="0.25">
      <c r="L421" s="16">
        <v>536</v>
      </c>
    </row>
    <row r="422" spans="12:12" x14ac:dyDescent="0.25">
      <c r="L422" s="16">
        <v>587</v>
      </c>
    </row>
    <row r="423" spans="12:12" x14ac:dyDescent="0.25">
      <c r="L423" s="16">
        <v>635</v>
      </c>
    </row>
    <row r="424" spans="12:12" x14ac:dyDescent="0.25">
      <c r="L424" s="16">
        <v>681</v>
      </c>
    </row>
    <row r="425" spans="12:12" x14ac:dyDescent="0.25">
      <c r="L425" s="16">
        <v>725</v>
      </c>
    </row>
    <row r="426" spans="12:12" x14ac:dyDescent="0.25">
      <c r="L426" s="16">
        <v>765</v>
      </c>
    </row>
    <row r="427" spans="12:12" x14ac:dyDescent="0.25">
      <c r="L427" s="16">
        <v>803</v>
      </c>
    </row>
    <row r="428" spans="12:12" x14ac:dyDescent="0.25">
      <c r="L428" s="16">
        <v>838</v>
      </c>
    </row>
    <row r="429" spans="12:12" x14ac:dyDescent="0.25">
      <c r="L429" s="16">
        <v>870</v>
      </c>
    </row>
    <row r="430" spans="12:12" x14ac:dyDescent="0.25">
      <c r="L430" s="16">
        <v>898</v>
      </c>
    </row>
    <row r="431" spans="12:12" x14ac:dyDescent="0.25">
      <c r="L431" s="16">
        <v>923</v>
      </c>
    </row>
    <row r="432" spans="12:12" x14ac:dyDescent="0.25">
      <c r="L432" s="16">
        <v>945</v>
      </c>
    </row>
    <row r="433" spans="12:12" x14ac:dyDescent="0.25">
      <c r="L433" s="16">
        <v>963</v>
      </c>
    </row>
    <row r="434" spans="12:12" x14ac:dyDescent="0.25">
      <c r="L434" s="16">
        <v>978</v>
      </c>
    </row>
    <row r="435" spans="12:12" x14ac:dyDescent="0.25">
      <c r="L435" s="16">
        <v>989</v>
      </c>
    </row>
    <row r="436" spans="12:12" x14ac:dyDescent="0.25">
      <c r="L436" s="16">
        <v>996</v>
      </c>
    </row>
    <row r="437" spans="12:12" x14ac:dyDescent="0.25">
      <c r="L437" s="16">
        <v>999</v>
      </c>
    </row>
    <row r="438" spans="12:12" x14ac:dyDescent="0.25">
      <c r="L438" s="16">
        <v>999</v>
      </c>
    </row>
    <row r="439" spans="12:12" x14ac:dyDescent="0.25">
      <c r="L439" s="16">
        <v>995</v>
      </c>
    </row>
    <row r="440" spans="12:12" x14ac:dyDescent="0.25">
      <c r="L440" s="16">
        <v>988</v>
      </c>
    </row>
    <row r="441" spans="12:12" x14ac:dyDescent="0.25">
      <c r="L441" s="16">
        <v>976</v>
      </c>
    </row>
    <row r="442" spans="12:12" x14ac:dyDescent="0.25">
      <c r="L442" s="16">
        <v>961</v>
      </c>
    </row>
    <row r="443" spans="12:12" x14ac:dyDescent="0.25">
      <c r="L443" s="16">
        <v>943</v>
      </c>
    </row>
    <row r="444" spans="12:12" x14ac:dyDescent="0.25">
      <c r="L444" s="16">
        <v>921</v>
      </c>
    </row>
    <row r="445" spans="12:12" x14ac:dyDescent="0.25">
      <c r="L445" s="16">
        <v>896</v>
      </c>
    </row>
    <row r="446" spans="12:12" x14ac:dyDescent="0.25">
      <c r="L446" s="16">
        <v>867</v>
      </c>
    </row>
    <row r="447" spans="12:12" x14ac:dyDescent="0.25">
      <c r="L447" s="16">
        <v>835</v>
      </c>
    </row>
    <row r="448" spans="12:12" x14ac:dyDescent="0.25">
      <c r="L448" s="16">
        <v>800</v>
      </c>
    </row>
    <row r="449" spans="12:12" x14ac:dyDescent="0.25">
      <c r="L449" s="16">
        <v>762</v>
      </c>
    </row>
    <row r="450" spans="12:12" x14ac:dyDescent="0.25">
      <c r="L450" s="16">
        <v>721</v>
      </c>
    </row>
    <row r="451" spans="12:12" x14ac:dyDescent="0.25">
      <c r="L451" s="16">
        <v>677</v>
      </c>
    </row>
    <row r="452" spans="12:12" x14ac:dyDescent="0.25">
      <c r="L452" s="16">
        <v>631</v>
      </c>
    </row>
    <row r="453" spans="12:12" x14ac:dyDescent="0.25">
      <c r="L453" s="16">
        <v>582</v>
      </c>
    </row>
    <row r="454" spans="12:12" x14ac:dyDescent="0.25">
      <c r="L454" s="16">
        <v>532</v>
      </c>
    </row>
    <row r="455" spans="12:12" x14ac:dyDescent="0.25">
      <c r="L455" s="16">
        <v>479</v>
      </c>
    </row>
    <row r="456" spans="12:12" x14ac:dyDescent="0.25">
      <c r="L456" s="16">
        <v>424</v>
      </c>
    </row>
    <row r="457" spans="12:12" x14ac:dyDescent="0.25">
      <c r="L457" s="16">
        <v>368</v>
      </c>
    </row>
    <row r="458" spans="12:12" x14ac:dyDescent="0.25">
      <c r="L458" s="16">
        <v>311</v>
      </c>
    </row>
    <row r="459" spans="12:12" x14ac:dyDescent="0.25">
      <c r="L459" s="16">
        <v>253</v>
      </c>
    </row>
    <row r="460" spans="12:12" x14ac:dyDescent="0.25">
      <c r="L460" s="16">
        <v>193</v>
      </c>
    </row>
    <row r="461" spans="12:12" x14ac:dyDescent="0.25">
      <c r="L461" s="16">
        <v>133</v>
      </c>
    </row>
    <row r="462" spans="12:12" x14ac:dyDescent="0.25">
      <c r="L462" s="16">
        <v>72</v>
      </c>
    </row>
    <row r="463" spans="12:12" x14ac:dyDescent="0.25">
      <c r="L463" s="16">
        <v>11</v>
      </c>
    </row>
    <row r="464" spans="12:12" x14ac:dyDescent="0.25">
      <c r="L464" s="16">
        <v>-50</v>
      </c>
    </row>
    <row r="465" spans="12:12" x14ac:dyDescent="0.25">
      <c r="L465" s="16">
        <v>-111</v>
      </c>
    </row>
    <row r="466" spans="12:12" x14ac:dyDescent="0.25">
      <c r="L466" s="16">
        <v>-171</v>
      </c>
    </row>
    <row r="467" spans="12:12" x14ac:dyDescent="0.25">
      <c r="L467" s="16">
        <v>-231</v>
      </c>
    </row>
    <row r="468" spans="12:12" x14ac:dyDescent="0.25">
      <c r="L468" s="16">
        <v>-290</v>
      </c>
    </row>
    <row r="469" spans="12:12" x14ac:dyDescent="0.25">
      <c r="L469" s="16">
        <v>-348</v>
      </c>
    </row>
    <row r="470" spans="12:12" x14ac:dyDescent="0.25">
      <c r="L470" s="16">
        <v>-404</v>
      </c>
    </row>
    <row r="471" spans="12:12" x14ac:dyDescent="0.25">
      <c r="L471" s="16">
        <v>-459</v>
      </c>
    </row>
    <row r="472" spans="12:12" x14ac:dyDescent="0.25">
      <c r="L472" s="16">
        <v>-512</v>
      </c>
    </row>
    <row r="473" spans="12:12" x14ac:dyDescent="0.25">
      <c r="L473" s="16">
        <v>-564</v>
      </c>
    </row>
    <row r="474" spans="12:12" x14ac:dyDescent="0.25">
      <c r="L474" s="16">
        <v>-613</v>
      </c>
    </row>
    <row r="475" spans="12:12" x14ac:dyDescent="0.25">
      <c r="L475" s="16">
        <v>-660</v>
      </c>
    </row>
    <row r="476" spans="12:12" x14ac:dyDescent="0.25">
      <c r="L476" s="16">
        <v>-705</v>
      </c>
    </row>
    <row r="477" spans="12:12" x14ac:dyDescent="0.25">
      <c r="L477" s="16">
        <v>-747</v>
      </c>
    </row>
    <row r="478" spans="12:12" x14ac:dyDescent="0.25">
      <c r="L478" s="16">
        <v>-786</v>
      </c>
    </row>
    <row r="479" spans="12:12" x14ac:dyDescent="0.25">
      <c r="L479" s="16">
        <v>-822</v>
      </c>
    </row>
    <row r="480" spans="12:12" x14ac:dyDescent="0.25">
      <c r="L480" s="16">
        <v>-855</v>
      </c>
    </row>
    <row r="481" spans="12:12" x14ac:dyDescent="0.25">
      <c r="L481" s="16">
        <v>-885</v>
      </c>
    </row>
    <row r="482" spans="12:12" x14ac:dyDescent="0.25">
      <c r="L482" s="16">
        <v>-912</v>
      </c>
    </row>
    <row r="483" spans="12:12" x14ac:dyDescent="0.25">
      <c r="L483" s="16">
        <v>-935</v>
      </c>
    </row>
    <row r="484" spans="12:12" x14ac:dyDescent="0.25">
      <c r="L484" s="16">
        <v>-955</v>
      </c>
    </row>
    <row r="485" spans="12:12" x14ac:dyDescent="0.25">
      <c r="L485" s="16">
        <v>-971</v>
      </c>
    </row>
    <row r="486" spans="12:12" x14ac:dyDescent="0.25">
      <c r="L486" s="16">
        <v>-984</v>
      </c>
    </row>
    <row r="487" spans="12:12" x14ac:dyDescent="0.25">
      <c r="L487" s="16">
        <v>-993</v>
      </c>
    </row>
    <row r="488" spans="12:12" x14ac:dyDescent="0.25">
      <c r="L488" s="16">
        <v>-998</v>
      </c>
    </row>
    <row r="489" spans="12:12" x14ac:dyDescent="0.25">
      <c r="L489" s="16">
        <v>-1000</v>
      </c>
    </row>
    <row r="490" spans="12:12" x14ac:dyDescent="0.25">
      <c r="L490" s="16">
        <v>-997</v>
      </c>
    </row>
    <row r="491" spans="12:12" x14ac:dyDescent="0.25">
      <c r="L491" s="16">
        <v>-991</v>
      </c>
    </row>
    <row r="492" spans="12:12" x14ac:dyDescent="0.25">
      <c r="L492" s="16">
        <v>-982</v>
      </c>
    </row>
    <row r="493" spans="12:12" x14ac:dyDescent="0.25">
      <c r="L493" s="16">
        <v>-969</v>
      </c>
    </row>
    <row r="494" spans="12:12" x14ac:dyDescent="0.25">
      <c r="L494" s="16">
        <v>-952</v>
      </c>
    </row>
    <row r="495" spans="12:12" x14ac:dyDescent="0.25">
      <c r="L495" s="16">
        <v>-931</v>
      </c>
    </row>
    <row r="496" spans="12:12" x14ac:dyDescent="0.25">
      <c r="L496" s="16">
        <v>-908</v>
      </c>
    </row>
    <row r="497" spans="12:12" x14ac:dyDescent="0.25">
      <c r="L497" s="16">
        <v>-880</v>
      </c>
    </row>
    <row r="498" spans="12:12" x14ac:dyDescent="0.25">
      <c r="L498" s="16">
        <v>-850</v>
      </c>
    </row>
    <row r="499" spans="12:12" x14ac:dyDescent="0.25">
      <c r="L499" s="16">
        <v>-816</v>
      </c>
    </row>
    <row r="500" spans="12:12" x14ac:dyDescent="0.25">
      <c r="L500" s="16">
        <v>-779</v>
      </c>
    </row>
    <row r="501" spans="12:12" x14ac:dyDescent="0.25">
      <c r="L501" s="16">
        <v>-740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F48" sqref="F48"/>
    </sheetView>
  </sheetViews>
  <sheetFormatPr baseColWidth="10" defaultRowHeight="15" x14ac:dyDescent="0.25"/>
  <cols>
    <col min="1" max="5" width="11.42578125" style="1"/>
    <col min="6" max="6" width="15.140625" style="1" customWidth="1"/>
    <col min="7" max="16384" width="11.42578125" style="1"/>
  </cols>
  <sheetData>
    <row r="1" spans="1:7" ht="21" x14ac:dyDescent="0.35">
      <c r="A1" s="21" t="s">
        <v>54</v>
      </c>
    </row>
    <row r="2" spans="1:7" x14ac:dyDescent="0.25">
      <c r="C2" s="7" t="s">
        <v>46</v>
      </c>
    </row>
    <row r="3" spans="1:7" x14ac:dyDescent="0.25">
      <c r="B3" s="1" t="s">
        <v>39</v>
      </c>
      <c r="C3" s="11">
        <v>1000</v>
      </c>
      <c r="F3" s="20" t="s">
        <v>57</v>
      </c>
    </row>
    <row r="4" spans="1:7" x14ac:dyDescent="0.25">
      <c r="A4" s="1" t="s">
        <v>55</v>
      </c>
      <c r="B4" s="1" t="s">
        <v>50</v>
      </c>
      <c r="C4" s="1" t="s">
        <v>56</v>
      </c>
      <c r="D4" s="1" t="s">
        <v>51</v>
      </c>
      <c r="E4" s="1" t="s">
        <v>53</v>
      </c>
      <c r="F4" s="1" t="s">
        <v>52</v>
      </c>
      <c r="G4" s="1" t="s">
        <v>58</v>
      </c>
    </row>
    <row r="5" spans="1:7" x14ac:dyDescent="0.25">
      <c r="A5" s="1">
        <v>0</v>
      </c>
      <c r="B5" s="1">
        <f t="shared" ref="B5:B52" si="0">SIN(6.28*A5*$C$3/48000)</f>
        <v>0</v>
      </c>
      <c r="C5" s="11">
        <v>0.7</v>
      </c>
      <c r="D5" s="1">
        <v>0</v>
      </c>
      <c r="E5" s="1">
        <v>0</v>
      </c>
      <c r="F5" s="1">
        <f>C5*E5-C5*B5+D5</f>
        <v>0</v>
      </c>
      <c r="G5" s="1">
        <f>(F5+B5)/2</f>
        <v>0</v>
      </c>
    </row>
    <row r="6" spans="1:7" x14ac:dyDescent="0.25">
      <c r="A6" s="1">
        <v>1</v>
      </c>
      <c r="B6" s="1">
        <f t="shared" si="0"/>
        <v>0.1304603990903013</v>
      </c>
      <c r="C6" s="1">
        <f>C5</f>
        <v>0.7</v>
      </c>
      <c r="D6" s="1">
        <f t="shared" ref="D6:D49" si="1">B5</f>
        <v>0</v>
      </c>
      <c r="E6" s="1">
        <f t="shared" ref="E6:E49" si="2">F5</f>
        <v>0</v>
      </c>
      <c r="F6" s="1">
        <f t="shared" ref="F6:F49" si="3">-C6*B6+D6+C6*E6</f>
        <v>-9.1322279363210898E-2</v>
      </c>
      <c r="G6" s="1">
        <f t="shared" ref="G6:G52" si="4">(F6+B6)/2</f>
        <v>1.95690598635452E-2</v>
      </c>
    </row>
    <row r="7" spans="1:7" x14ac:dyDescent="0.25">
      <c r="A7" s="1">
        <v>2</v>
      </c>
      <c r="B7" s="1">
        <f t="shared" si="0"/>
        <v>0.25869084405380199</v>
      </c>
      <c r="C7" s="1">
        <f t="shared" ref="C7:C49" si="5">C6</f>
        <v>0.7</v>
      </c>
      <c r="D7" s="1">
        <f t="shared" si="1"/>
        <v>0.1304603990903013</v>
      </c>
      <c r="E7" s="1">
        <f t="shared" si="2"/>
        <v>-9.1322279363210898E-2</v>
      </c>
      <c r="F7" s="1">
        <f t="shared" si="3"/>
        <v>-0.1145487873016077</v>
      </c>
      <c r="G7" s="1">
        <f t="shared" si="4"/>
        <v>7.2071028376097149E-2</v>
      </c>
    </row>
    <row r="8" spans="1:7" x14ac:dyDescent="0.25">
      <c r="A8" s="1">
        <v>3</v>
      </c>
      <c r="B8" s="1">
        <f t="shared" si="0"/>
        <v>0.38249949727600968</v>
      </c>
      <c r="C8" s="1">
        <f t="shared" si="5"/>
        <v>0.7</v>
      </c>
      <c r="D8" s="1">
        <f t="shared" si="1"/>
        <v>0.25869084405380199</v>
      </c>
      <c r="E8" s="1">
        <f t="shared" si="2"/>
        <v>-0.1145487873016077</v>
      </c>
      <c r="F8" s="1">
        <f t="shared" si="3"/>
        <v>-8.924295515053017E-2</v>
      </c>
      <c r="G8" s="1">
        <f t="shared" si="4"/>
        <v>0.14662827106273976</v>
      </c>
    </row>
    <row r="9" spans="1:7" x14ac:dyDescent="0.25">
      <c r="A9" s="1">
        <v>4</v>
      </c>
      <c r="B9" s="1">
        <f t="shared" si="0"/>
        <v>0.4997701026431024</v>
      </c>
      <c r="C9" s="1">
        <f t="shared" si="5"/>
        <v>0.7</v>
      </c>
      <c r="D9" s="1">
        <f t="shared" si="1"/>
        <v>0.38249949727600968</v>
      </c>
      <c r="E9" s="1">
        <f t="shared" si="2"/>
        <v>-8.924295515053017E-2</v>
      </c>
      <c r="F9" s="1">
        <f t="shared" si="3"/>
        <v>-2.9809643179533094E-2</v>
      </c>
      <c r="G9" s="1">
        <f t="shared" si="4"/>
        <v>0.23498022973178465</v>
      </c>
    </row>
    <row r="10" spans="1:7" x14ac:dyDescent="0.25">
      <c r="A10" s="1">
        <v>5</v>
      </c>
      <c r="B10" s="1">
        <f t="shared" si="0"/>
        <v>0.60849815861887291</v>
      </c>
      <c r="C10" s="1">
        <f t="shared" si="5"/>
        <v>0.7</v>
      </c>
      <c r="D10" s="1">
        <f t="shared" si="1"/>
        <v>0.4997701026431024</v>
      </c>
      <c r="E10" s="1">
        <f t="shared" si="2"/>
        <v>-2.9809643179533094E-2</v>
      </c>
      <c r="F10" s="1">
        <f t="shared" si="3"/>
        <v>5.295464138421821E-2</v>
      </c>
      <c r="G10" s="1">
        <f t="shared" si="4"/>
        <v>0.33072640000154557</v>
      </c>
    </row>
    <row r="11" spans="1:7" x14ac:dyDescent="0.25">
      <c r="A11" s="1">
        <v>6</v>
      </c>
      <c r="B11" s="1">
        <f t="shared" si="0"/>
        <v>0.70682518110536596</v>
      </c>
      <c r="C11" s="1">
        <f t="shared" si="5"/>
        <v>0.7</v>
      </c>
      <c r="D11" s="1">
        <f t="shared" si="1"/>
        <v>0.60849815861887291</v>
      </c>
      <c r="E11" s="1">
        <f t="shared" si="2"/>
        <v>5.295464138421821E-2</v>
      </c>
      <c r="F11" s="1">
        <f t="shared" si="3"/>
        <v>0.15078878081406952</v>
      </c>
      <c r="G11" s="1">
        <f t="shared" si="4"/>
        <v>0.42880698095971775</v>
      </c>
    </row>
    <row r="12" spans="1:7" x14ac:dyDescent="0.25">
      <c r="A12" s="1">
        <v>7</v>
      </c>
      <c r="B12" s="1">
        <f t="shared" si="0"/>
        <v>0.79307047043357348</v>
      </c>
      <c r="C12" s="1">
        <f t="shared" si="5"/>
        <v>0.7</v>
      </c>
      <c r="D12" s="1">
        <f t="shared" si="1"/>
        <v>0.70682518110536596</v>
      </c>
      <c r="E12" s="1">
        <f t="shared" si="2"/>
        <v>0.15078878081406952</v>
      </c>
      <c r="F12" s="1">
        <f t="shared" si="3"/>
        <v>0.25722799837171328</v>
      </c>
      <c r="G12" s="1">
        <f t="shared" si="4"/>
        <v>0.52514923440264338</v>
      </c>
    </row>
    <row r="13" spans="1:7" x14ac:dyDescent="0.25">
      <c r="A13" s="1">
        <v>8</v>
      </c>
      <c r="B13" s="1">
        <f t="shared" si="0"/>
        <v>0.86575983949234436</v>
      </c>
      <c r="C13" s="1">
        <f t="shared" si="5"/>
        <v>0.7</v>
      </c>
      <c r="D13" s="1">
        <f t="shared" si="1"/>
        <v>0.79307047043357348</v>
      </c>
      <c r="E13" s="1">
        <f t="shared" si="2"/>
        <v>0.25722799837171328</v>
      </c>
      <c r="F13" s="1">
        <f t="shared" si="3"/>
        <v>0.36709818164913177</v>
      </c>
      <c r="G13" s="1">
        <f t="shared" si="4"/>
        <v>0.61642901057073807</v>
      </c>
    </row>
    <row r="14" spans="1:7" x14ac:dyDescent="0.25">
      <c r="A14" s="1">
        <v>9</v>
      </c>
      <c r="B14" s="1">
        <f t="shared" si="0"/>
        <v>0.92365081194681065</v>
      </c>
      <c r="C14" s="1">
        <f t="shared" si="5"/>
        <v>0.7</v>
      </c>
      <c r="D14" s="1">
        <f t="shared" si="1"/>
        <v>0.86575983949234436</v>
      </c>
      <c r="E14" s="1">
        <f t="shared" si="2"/>
        <v>0.36709818164913177</v>
      </c>
      <c r="F14" s="1">
        <f t="shared" si="3"/>
        <v>0.4761729982839692</v>
      </c>
      <c r="G14" s="1">
        <f t="shared" si="4"/>
        <v>0.69991190511538992</v>
      </c>
    </row>
    <row r="15" spans="1:7" x14ac:dyDescent="0.25">
      <c r="A15" s="1">
        <v>10</v>
      </c>
      <c r="B15" s="1">
        <f t="shared" si="0"/>
        <v>0.965753859834238</v>
      </c>
      <c r="C15" s="1">
        <f t="shared" si="5"/>
        <v>0.7</v>
      </c>
      <c r="D15" s="1">
        <f t="shared" si="1"/>
        <v>0.92365081194681065</v>
      </c>
      <c r="E15" s="1">
        <f t="shared" si="2"/>
        <v>0.4761729982839692</v>
      </c>
      <c r="F15" s="1">
        <f t="shared" si="3"/>
        <v>0.58094420886162257</v>
      </c>
      <c r="G15" s="1">
        <f t="shared" si="4"/>
        <v>0.77334903434793034</v>
      </c>
    </row>
    <row r="16" spans="1:7" x14ac:dyDescent="0.25">
      <c r="A16" s="1">
        <v>11</v>
      </c>
      <c r="B16" s="1">
        <f t="shared" si="0"/>
        <v>0.99134931752396649</v>
      </c>
      <c r="C16" s="1">
        <f t="shared" si="5"/>
        <v>0.7</v>
      </c>
      <c r="D16" s="1">
        <f t="shared" si="1"/>
        <v>0.965753859834238</v>
      </c>
      <c r="E16" s="1">
        <f t="shared" si="2"/>
        <v>0.58094420886162257</v>
      </c>
      <c r="F16" s="1">
        <f t="shared" si="3"/>
        <v>0.67847028377059726</v>
      </c>
      <c r="G16" s="1">
        <f t="shared" si="4"/>
        <v>0.83490980064728193</v>
      </c>
    </row>
    <row r="17" spans="1:7" x14ac:dyDescent="0.25">
      <c r="A17" s="1">
        <v>12</v>
      </c>
      <c r="B17" s="1">
        <f t="shared" si="0"/>
        <v>0.99999968293183461</v>
      </c>
      <c r="C17" s="1">
        <f t="shared" si="5"/>
        <v>0.7</v>
      </c>
      <c r="D17" s="1">
        <f t="shared" si="1"/>
        <v>0.99134931752396649</v>
      </c>
      <c r="E17" s="1">
        <f t="shared" si="2"/>
        <v>0.67847028377059726</v>
      </c>
      <c r="F17" s="1">
        <f t="shared" si="3"/>
        <v>0.76627873811110037</v>
      </c>
      <c r="G17" s="1">
        <f t="shared" si="4"/>
        <v>0.88313921052146749</v>
      </c>
    </row>
    <row r="18" spans="1:7" x14ac:dyDescent="0.25">
      <c r="A18" s="1">
        <v>13</v>
      </c>
      <c r="B18" s="1">
        <f t="shared" si="0"/>
        <v>0.99155709572494355</v>
      </c>
      <c r="C18" s="1">
        <f t="shared" si="5"/>
        <v>0.7</v>
      </c>
      <c r="D18" s="1">
        <f t="shared" si="1"/>
        <v>0.99999968293183461</v>
      </c>
      <c r="E18" s="1">
        <f t="shared" si="2"/>
        <v>0.76627873811110037</v>
      </c>
      <c r="F18" s="1">
        <f t="shared" si="3"/>
        <v>0.84230483260214439</v>
      </c>
      <c r="G18" s="1">
        <f t="shared" si="4"/>
        <v>0.91693096416354392</v>
      </c>
    </row>
    <row r="19" spans="1:7" x14ac:dyDescent="0.25">
      <c r="A19" s="1">
        <v>14</v>
      </c>
      <c r="B19" s="1">
        <f t="shared" si="0"/>
        <v>0.96616586469212229</v>
      </c>
      <c r="C19" s="1">
        <f t="shared" si="5"/>
        <v>0.7</v>
      </c>
      <c r="D19" s="1">
        <f t="shared" si="1"/>
        <v>0.99155709572494355</v>
      </c>
      <c r="E19" s="1">
        <f t="shared" si="2"/>
        <v>0.84230483260214439</v>
      </c>
      <c r="F19" s="1">
        <f t="shared" si="3"/>
        <v>0.90485437326195894</v>
      </c>
      <c r="G19" s="1">
        <f t="shared" si="4"/>
        <v>0.93551011897704062</v>
      </c>
    </row>
    <row r="20" spans="1:7" x14ac:dyDescent="0.25">
      <c r="A20" s="1">
        <v>15</v>
      </c>
      <c r="B20" s="1">
        <f t="shared" si="0"/>
        <v>0.92426000107985662</v>
      </c>
      <c r="C20" s="1">
        <f t="shared" si="5"/>
        <v>0.7</v>
      </c>
      <c r="D20" s="1">
        <f t="shared" si="1"/>
        <v>0.96616586469212229</v>
      </c>
      <c r="E20" s="1">
        <f t="shared" si="2"/>
        <v>0.90485437326195894</v>
      </c>
      <c r="F20" s="1">
        <f t="shared" si="3"/>
        <v>0.95258192521959384</v>
      </c>
      <c r="G20" s="1">
        <f t="shared" si="4"/>
        <v>0.93842096314972523</v>
      </c>
    </row>
    <row r="21" spans="1:7" x14ac:dyDescent="0.25">
      <c r="A21" s="1">
        <v>16</v>
      </c>
      <c r="B21" s="1">
        <f t="shared" si="0"/>
        <v>0.86655580005626576</v>
      </c>
      <c r="C21" s="1">
        <f t="shared" si="5"/>
        <v>0.7</v>
      </c>
      <c r="D21" s="1">
        <f t="shared" si="1"/>
        <v>0.92426000107985662</v>
      </c>
      <c r="E21" s="1">
        <f t="shared" si="2"/>
        <v>0.95258192521959384</v>
      </c>
      <c r="F21" s="1">
        <f t="shared" si="3"/>
        <v>0.9844782886941863</v>
      </c>
      <c r="G21" s="1">
        <f t="shared" si="4"/>
        <v>0.92551704437522608</v>
      </c>
    </row>
    <row r="22" spans="1:7" x14ac:dyDescent="0.25">
      <c r="A22" s="1">
        <v>17</v>
      </c>
      <c r="B22" s="1">
        <f t="shared" si="0"/>
        <v>0.79403959710785399</v>
      </c>
      <c r="C22" s="1">
        <f t="shared" si="5"/>
        <v>0.7</v>
      </c>
      <c r="D22" s="1">
        <f t="shared" si="1"/>
        <v>0.86655580005626576</v>
      </c>
      <c r="E22" s="1">
        <f t="shared" si="2"/>
        <v>0.9844782886941863</v>
      </c>
      <c r="F22" s="1">
        <f t="shared" si="3"/>
        <v>0.99986288416669833</v>
      </c>
      <c r="G22" s="1">
        <f t="shared" si="4"/>
        <v>0.89695124063727616</v>
      </c>
    </row>
    <row r="23" spans="1:7" x14ac:dyDescent="0.25">
      <c r="A23" s="1">
        <v>18</v>
      </c>
      <c r="B23" s="1">
        <f t="shared" si="0"/>
        <v>0.70795090864843213</v>
      </c>
      <c r="C23" s="1">
        <f t="shared" si="5"/>
        <v>0.7</v>
      </c>
      <c r="D23" s="1">
        <f t="shared" si="1"/>
        <v>0.79403959710785399</v>
      </c>
      <c r="E23" s="1">
        <f t="shared" si="2"/>
        <v>0.99986288416669833</v>
      </c>
      <c r="F23" s="1">
        <f t="shared" si="3"/>
        <v>0.99837797997064026</v>
      </c>
      <c r="G23" s="1">
        <f t="shared" si="4"/>
        <v>0.8531644443095362</v>
      </c>
    </row>
    <row r="24" spans="1:7" x14ac:dyDescent="0.25">
      <c r="A24" s="1">
        <v>19</v>
      </c>
      <c r="B24" s="1">
        <f t="shared" si="0"/>
        <v>0.60976124501707263</v>
      </c>
      <c r="C24" s="1">
        <f t="shared" si="5"/>
        <v>0.7</v>
      </c>
      <c r="D24" s="1">
        <f t="shared" si="1"/>
        <v>0.70795090864843213</v>
      </c>
      <c r="E24" s="1">
        <f t="shared" si="2"/>
        <v>0.99837797997064026</v>
      </c>
      <c r="F24" s="1">
        <f t="shared" si="3"/>
        <v>0.97998262311592943</v>
      </c>
      <c r="G24" s="1">
        <f t="shared" si="4"/>
        <v>0.79487193406650103</v>
      </c>
    </row>
    <row r="25" spans="1:7" x14ac:dyDescent="0.25">
      <c r="A25" s="1">
        <v>20</v>
      </c>
      <c r="B25" s="1">
        <f t="shared" si="0"/>
        <v>0.5011489580136379</v>
      </c>
      <c r="C25" s="1">
        <f t="shared" si="5"/>
        <v>0.7</v>
      </c>
      <c r="D25" s="1">
        <f t="shared" si="1"/>
        <v>0.60976124501707263</v>
      </c>
      <c r="E25" s="1">
        <f t="shared" si="2"/>
        <v>0.97998262311592943</v>
      </c>
      <c r="F25" s="1">
        <f t="shared" si="3"/>
        <v>0.94494481058867663</v>
      </c>
      <c r="G25" s="1">
        <f t="shared" si="4"/>
        <v>0.72304688430115727</v>
      </c>
    </row>
    <row r="26" spans="1:7" x14ac:dyDescent="0.25">
      <c r="A26" s="1">
        <v>21</v>
      </c>
      <c r="B26" s="1">
        <f t="shared" si="0"/>
        <v>0.38397055290189713</v>
      </c>
      <c r="C26" s="1">
        <f t="shared" si="5"/>
        <v>0.7</v>
      </c>
      <c r="D26" s="1">
        <f t="shared" si="1"/>
        <v>0.5011489580136379</v>
      </c>
      <c r="E26" s="1">
        <f t="shared" si="2"/>
        <v>0.94494481058867663</v>
      </c>
      <c r="F26" s="1">
        <f t="shared" si="3"/>
        <v>0.89383093839438355</v>
      </c>
      <c r="G26" s="1">
        <f t="shared" si="4"/>
        <v>0.63890074564814037</v>
      </c>
    </row>
    <row r="27" spans="1:7" x14ac:dyDescent="0.25">
      <c r="A27" s="1">
        <v>22</v>
      </c>
      <c r="B27" s="1">
        <f t="shared" si="0"/>
        <v>0.26022895524296158</v>
      </c>
      <c r="C27" s="1">
        <f t="shared" si="5"/>
        <v>0.7</v>
      </c>
      <c r="D27" s="1">
        <f t="shared" si="1"/>
        <v>0.38397055290189713</v>
      </c>
      <c r="E27" s="1">
        <f t="shared" si="2"/>
        <v>0.89383093839438355</v>
      </c>
      <c r="F27" s="1">
        <f t="shared" si="3"/>
        <v>0.82749194110789248</v>
      </c>
      <c r="G27" s="1">
        <f t="shared" si="4"/>
        <v>0.543860448175427</v>
      </c>
    </row>
    <row r="28" spans="1:7" x14ac:dyDescent="0.25">
      <c r="A28" s="1">
        <v>23</v>
      </c>
      <c r="B28" s="1">
        <f t="shared" si="0"/>
        <v>0.13203927497272436</v>
      </c>
      <c r="C28" s="1">
        <f t="shared" si="5"/>
        <v>0.7</v>
      </c>
      <c r="D28" s="1">
        <f t="shared" si="1"/>
        <v>0.26022895524296158</v>
      </c>
      <c r="E28" s="1">
        <f t="shared" si="2"/>
        <v>0.82749194110789248</v>
      </c>
      <c r="F28" s="1">
        <f t="shared" si="3"/>
        <v>0.74704582153757926</v>
      </c>
      <c r="G28" s="1">
        <f t="shared" si="4"/>
        <v>0.43954254825515182</v>
      </c>
    </row>
    <row r="29" spans="1:7" x14ac:dyDescent="0.25">
      <c r="A29" s="1">
        <v>24</v>
      </c>
      <c r="B29" s="1">
        <f t="shared" si="0"/>
        <v>1.5926529164868282E-3</v>
      </c>
      <c r="C29" s="1">
        <f t="shared" si="5"/>
        <v>0.7</v>
      </c>
      <c r="D29" s="1">
        <f t="shared" si="1"/>
        <v>0.13203927497272436</v>
      </c>
      <c r="E29" s="1">
        <f t="shared" si="2"/>
        <v>0.74704582153757926</v>
      </c>
      <c r="F29" s="1">
        <f t="shared" si="3"/>
        <v>0.65385649300748905</v>
      </c>
      <c r="G29" s="1">
        <f t="shared" si="4"/>
        <v>0.32772457296198793</v>
      </c>
    </row>
    <row r="30" spans="1:7" x14ac:dyDescent="0.25">
      <c r="A30" s="1">
        <v>25</v>
      </c>
      <c r="B30" s="1">
        <f t="shared" si="0"/>
        <v>-0.12888119228921557</v>
      </c>
      <c r="C30" s="1">
        <f t="shared" si="5"/>
        <v>0.7</v>
      </c>
      <c r="D30" s="1">
        <f t="shared" si="1"/>
        <v>1.5926529164868282E-3</v>
      </c>
      <c r="E30" s="1">
        <f t="shared" si="2"/>
        <v>0.65385649300748905</v>
      </c>
      <c r="F30" s="1">
        <f t="shared" si="3"/>
        <v>0.54950903262418005</v>
      </c>
      <c r="G30" s="1">
        <f t="shared" si="4"/>
        <v>0.21031392016748224</v>
      </c>
    </row>
    <row r="31" spans="1:7" x14ac:dyDescent="0.25">
      <c r="A31" s="1">
        <v>26</v>
      </c>
      <c r="B31" s="1">
        <f t="shared" si="0"/>
        <v>-0.257152076683696</v>
      </c>
      <c r="C31" s="1">
        <f t="shared" si="5"/>
        <v>0.7</v>
      </c>
      <c r="D31" s="1">
        <f t="shared" si="1"/>
        <v>-0.12888119228921557</v>
      </c>
      <c r="E31" s="1">
        <f t="shared" si="2"/>
        <v>0.54950903262418005</v>
      </c>
      <c r="F31" s="1">
        <f t="shared" si="3"/>
        <v>0.43578158422629765</v>
      </c>
      <c r="G31" s="1">
        <f t="shared" si="4"/>
        <v>8.9314753771300825E-2</v>
      </c>
    </row>
    <row r="32" spans="1:7" x14ac:dyDescent="0.25">
      <c r="A32" s="1">
        <v>27</v>
      </c>
      <c r="B32" s="1">
        <f t="shared" si="0"/>
        <v>-0.38102747142296522</v>
      </c>
      <c r="C32" s="1">
        <f t="shared" si="5"/>
        <v>0.7</v>
      </c>
      <c r="D32" s="1">
        <f t="shared" si="1"/>
        <v>-0.257152076683696</v>
      </c>
      <c r="E32" s="1">
        <f t="shared" si="2"/>
        <v>0.43578158422629765</v>
      </c>
      <c r="F32" s="1">
        <f t="shared" si="3"/>
        <v>0.31461426227078793</v>
      </c>
      <c r="G32" s="1">
        <f t="shared" si="4"/>
        <v>-3.320660457608865E-2</v>
      </c>
    </row>
    <row r="33" spans="1:7" x14ac:dyDescent="0.25">
      <c r="A33" s="1">
        <v>28</v>
      </c>
      <c r="B33" s="1">
        <f t="shared" si="0"/>
        <v>-0.49838997958325121</v>
      </c>
      <c r="C33" s="1">
        <f t="shared" si="5"/>
        <v>0.7</v>
      </c>
      <c r="D33" s="1">
        <f t="shared" si="1"/>
        <v>-0.38102747142296522</v>
      </c>
      <c r="E33" s="1">
        <f t="shared" si="2"/>
        <v>0.31461426227078793</v>
      </c>
      <c r="F33" s="1">
        <f t="shared" si="3"/>
        <v>0.18807549787486216</v>
      </c>
      <c r="G33" s="1">
        <f t="shared" si="4"/>
        <v>-0.15515724085419452</v>
      </c>
    </row>
    <row r="34" spans="1:7" x14ac:dyDescent="0.25">
      <c r="A34" s="1">
        <v>29</v>
      </c>
      <c r="B34" s="1">
        <f t="shared" si="0"/>
        <v>-0.60723352873775882</v>
      </c>
      <c r="C34" s="1">
        <f t="shared" si="5"/>
        <v>0.7</v>
      </c>
      <c r="D34" s="1">
        <f t="shared" si="1"/>
        <v>-0.49838997958325121</v>
      </c>
      <c r="E34" s="1">
        <f t="shared" si="2"/>
        <v>0.18807549787486216</v>
      </c>
      <c r="F34" s="1">
        <f t="shared" si="3"/>
        <v>5.8326339045583431E-2</v>
      </c>
      <c r="G34" s="1">
        <f t="shared" si="4"/>
        <v>-0.27445359484608767</v>
      </c>
    </row>
    <row r="35" spans="1:7" x14ac:dyDescent="0.25">
      <c r="A35" s="1">
        <v>30</v>
      </c>
      <c r="B35" s="1">
        <f t="shared" si="0"/>
        <v>-0.7056976606684765</v>
      </c>
      <c r="C35" s="1">
        <f t="shared" si="5"/>
        <v>0.7</v>
      </c>
      <c r="D35" s="1">
        <f t="shared" si="1"/>
        <v>-0.60723352873775882</v>
      </c>
      <c r="E35" s="1">
        <f t="shared" si="2"/>
        <v>5.8326339045583431E-2</v>
      </c>
      <c r="F35" s="1">
        <f t="shared" si="3"/>
        <v>-7.2416728937916883E-2</v>
      </c>
      <c r="G35" s="1">
        <f t="shared" si="4"/>
        <v>-0.38905719480319667</v>
      </c>
    </row>
    <row r="36" spans="1:7" x14ac:dyDescent="0.25">
      <c r="A36" s="1">
        <v>31</v>
      </c>
      <c r="B36" s="1">
        <f t="shared" si="0"/>
        <v>-0.79209933210041916</v>
      </c>
      <c r="C36" s="1">
        <f t="shared" si="5"/>
        <v>0.7</v>
      </c>
      <c r="D36" s="1">
        <f t="shared" si="1"/>
        <v>-0.7056976606684765</v>
      </c>
      <c r="E36" s="1">
        <f t="shared" si="2"/>
        <v>-7.2416728937916883E-2</v>
      </c>
      <c r="F36" s="1">
        <f t="shared" si="3"/>
        <v>-0.20191983845472491</v>
      </c>
      <c r="G36" s="1">
        <f t="shared" si="4"/>
        <v>-0.49700958527757205</v>
      </c>
    </row>
    <row r="37" spans="1:7" x14ac:dyDescent="0.25">
      <c r="A37" s="1">
        <v>32</v>
      </c>
      <c r="B37" s="1">
        <f t="shared" si="0"/>
        <v>-0.86496168288969943</v>
      </c>
      <c r="C37" s="1">
        <f t="shared" si="5"/>
        <v>0.7</v>
      </c>
      <c r="D37" s="1">
        <f t="shared" si="1"/>
        <v>-0.79209933210041916</v>
      </c>
      <c r="E37" s="1">
        <f t="shared" si="2"/>
        <v>-0.20191983845472491</v>
      </c>
      <c r="F37" s="1">
        <f t="shared" si="3"/>
        <v>-0.32797004099593707</v>
      </c>
      <c r="G37" s="1">
        <f t="shared" si="4"/>
        <v>-0.59646586194281825</v>
      </c>
    </row>
    <row r="38" spans="1:7" x14ac:dyDescent="0.25">
      <c r="A38" s="1">
        <v>33</v>
      </c>
      <c r="B38" s="1">
        <f t="shared" si="0"/>
        <v>-0.92303927993198898</v>
      </c>
      <c r="C38" s="1">
        <f t="shared" si="5"/>
        <v>0.7</v>
      </c>
      <c r="D38" s="1">
        <f t="shared" si="1"/>
        <v>-0.86496168288969943</v>
      </c>
      <c r="E38" s="1">
        <f t="shared" si="2"/>
        <v>-0.32797004099593707</v>
      </c>
      <c r="F38" s="1">
        <f t="shared" si="3"/>
        <v>-0.44841321563446312</v>
      </c>
      <c r="G38" s="1">
        <f t="shared" si="4"/>
        <v>-0.685726247783226</v>
      </c>
    </row>
    <row r="39" spans="1:7" x14ac:dyDescent="0.25">
      <c r="A39" s="1">
        <v>34</v>
      </c>
      <c r="B39" s="1">
        <f t="shared" si="0"/>
        <v>-0.96533940529830553</v>
      </c>
      <c r="C39" s="1">
        <f t="shared" si="5"/>
        <v>0.7</v>
      </c>
      <c r="D39" s="1">
        <f t="shared" si="1"/>
        <v>-0.92303927993198898</v>
      </c>
      <c r="E39" s="1">
        <f t="shared" si="2"/>
        <v>-0.44841321563446312</v>
      </c>
      <c r="F39" s="1">
        <f t="shared" si="3"/>
        <v>-0.56119094716729934</v>
      </c>
      <c r="G39" s="1">
        <f t="shared" si="4"/>
        <v>-0.76326517623280243</v>
      </c>
    </row>
    <row r="40" spans="1:7" x14ac:dyDescent="0.25">
      <c r="A40" s="1">
        <v>35</v>
      </c>
      <c r="B40" s="1">
        <f t="shared" si="0"/>
        <v>-0.9911390247209132</v>
      </c>
      <c r="C40" s="1">
        <f t="shared" si="5"/>
        <v>0.7</v>
      </c>
      <c r="D40" s="1">
        <f t="shared" si="1"/>
        <v>-0.96533940529830553</v>
      </c>
      <c r="E40" s="1">
        <f t="shared" si="2"/>
        <v>-0.56119094716729934</v>
      </c>
      <c r="F40" s="1">
        <f t="shared" si="3"/>
        <v>-0.66437575101077584</v>
      </c>
      <c r="G40" s="1">
        <f t="shared" si="4"/>
        <v>-0.82775738786584452</v>
      </c>
    </row>
    <row r="41" spans="1:7" x14ac:dyDescent="0.25">
      <c r="A41" s="1">
        <v>36</v>
      </c>
      <c r="B41" s="1">
        <f t="shared" si="0"/>
        <v>-0.99999714638771797</v>
      </c>
      <c r="C41" s="1">
        <f t="shared" si="5"/>
        <v>0.7</v>
      </c>
      <c r="D41" s="1">
        <f t="shared" si="1"/>
        <v>-0.9911390247209132</v>
      </c>
      <c r="E41" s="1">
        <f t="shared" si="2"/>
        <v>-0.66437575101077584</v>
      </c>
      <c r="F41" s="1">
        <f t="shared" si="3"/>
        <v>-0.75620404795705376</v>
      </c>
      <c r="G41" s="1">
        <f t="shared" si="4"/>
        <v>-0.87810059717238587</v>
      </c>
    </row>
    <row r="42" spans="1:7" x14ac:dyDescent="0.25">
      <c r="A42" s="1">
        <v>37</v>
      </c>
      <c r="B42" s="1">
        <f t="shared" si="0"/>
        <v>-0.99176235879680563</v>
      </c>
      <c r="C42" s="1">
        <f t="shared" si="5"/>
        <v>0.7</v>
      </c>
      <c r="D42" s="1">
        <f t="shared" si="1"/>
        <v>-0.99999714638771797</v>
      </c>
      <c r="E42" s="1">
        <f t="shared" si="2"/>
        <v>-0.75620404795705376</v>
      </c>
      <c r="F42" s="1">
        <f t="shared" si="3"/>
        <v>-0.83510632879989166</v>
      </c>
      <c r="G42" s="1">
        <f t="shared" si="4"/>
        <v>-0.91343434379834865</v>
      </c>
    </row>
    <row r="43" spans="1:7" x14ac:dyDescent="0.25">
      <c r="A43" s="1">
        <v>38</v>
      </c>
      <c r="B43" s="1">
        <f t="shared" si="0"/>
        <v>-0.96657541882688969</v>
      </c>
      <c r="C43" s="1">
        <f t="shared" si="5"/>
        <v>0.7</v>
      </c>
      <c r="D43" s="1">
        <f t="shared" si="1"/>
        <v>-0.99176235879680563</v>
      </c>
      <c r="E43" s="1">
        <f t="shared" si="2"/>
        <v>-0.83510632879989166</v>
      </c>
      <c r="F43" s="1">
        <f t="shared" si="3"/>
        <v>-0.89973399577790703</v>
      </c>
      <c r="G43" s="1">
        <f t="shared" si="4"/>
        <v>-0.93315470730239836</v>
      </c>
    </row>
    <row r="44" spans="1:7" x14ac:dyDescent="0.25">
      <c r="A44" s="1">
        <v>39</v>
      </c>
      <c r="B44" s="1">
        <f t="shared" si="0"/>
        <v>-0.92486684578589085</v>
      </c>
      <c r="C44" s="1">
        <f t="shared" si="5"/>
        <v>0.7</v>
      </c>
      <c r="D44" s="1">
        <f t="shared" si="1"/>
        <v>-0.96657541882688969</v>
      </c>
      <c r="E44" s="1">
        <f t="shared" si="2"/>
        <v>-0.89973399577790703</v>
      </c>
      <c r="F44" s="1">
        <f t="shared" si="3"/>
        <v>-0.94898242382130105</v>
      </c>
      <c r="G44" s="1">
        <f t="shared" si="4"/>
        <v>-0.936924634803596</v>
      </c>
    </row>
    <row r="45" spans="1:7" x14ac:dyDescent="0.25">
      <c r="A45" s="1">
        <v>40</v>
      </c>
      <c r="B45" s="1">
        <f t="shared" si="0"/>
        <v>-0.8673495625624732</v>
      </c>
      <c r="C45" s="1">
        <f t="shared" si="5"/>
        <v>0.7</v>
      </c>
      <c r="D45" s="1">
        <f t="shared" si="1"/>
        <v>-0.92486684578589085</v>
      </c>
      <c r="E45" s="1">
        <f t="shared" si="2"/>
        <v>-0.94898242382130105</v>
      </c>
      <c r="F45" s="1">
        <f t="shared" si="3"/>
        <v>-0.98200984866707042</v>
      </c>
      <c r="G45" s="1">
        <f t="shared" si="4"/>
        <v>-0.92467970561477175</v>
      </c>
    </row>
    <row r="46" spans="1:7" x14ac:dyDescent="0.25">
      <c r="A46" s="1">
        <v>41</v>
      </c>
      <c r="B46" s="1">
        <f t="shared" si="0"/>
        <v>-0.79500670966502685</v>
      </c>
      <c r="C46" s="1">
        <f t="shared" si="5"/>
        <v>0.7</v>
      </c>
      <c r="D46" s="1">
        <f t="shared" si="1"/>
        <v>-0.8673495625624732</v>
      </c>
      <c r="E46" s="1">
        <f t="shared" si="2"/>
        <v>-0.98200984866707042</v>
      </c>
      <c r="F46" s="1">
        <f t="shared" si="3"/>
        <v>-0.99825175986390369</v>
      </c>
      <c r="G46" s="1">
        <f t="shared" si="4"/>
        <v>-0.89662923476446532</v>
      </c>
    </row>
    <row r="47" spans="1:7" x14ac:dyDescent="0.25">
      <c r="A47" s="1">
        <v>42</v>
      </c>
      <c r="B47" s="1">
        <f t="shared" si="0"/>
        <v>-0.7090748404422168</v>
      </c>
      <c r="C47" s="1">
        <f t="shared" si="5"/>
        <v>0.7</v>
      </c>
      <c r="D47" s="1">
        <f t="shared" si="1"/>
        <v>-0.79500670966502685</v>
      </c>
      <c r="E47" s="1">
        <f t="shared" si="2"/>
        <v>-0.99825175986390369</v>
      </c>
      <c r="F47" s="1">
        <f t="shared" si="3"/>
        <v>-0.99743055326020769</v>
      </c>
      <c r="G47" s="1">
        <f t="shared" si="4"/>
        <v>-0.85325269685121219</v>
      </c>
    </row>
    <row r="48" spans="1:7" x14ac:dyDescent="0.25">
      <c r="A48" s="1">
        <v>43</v>
      </c>
      <c r="B48" s="1">
        <f t="shared" si="0"/>
        <v>-0.61102278472848404</v>
      </c>
      <c r="C48" s="1">
        <f t="shared" si="5"/>
        <v>0.7</v>
      </c>
      <c r="D48" s="1">
        <f t="shared" si="1"/>
        <v>-0.7090748404422168</v>
      </c>
      <c r="E48" s="1">
        <f t="shared" si="2"/>
        <v>-0.99743055326020769</v>
      </c>
      <c r="F48" s="1">
        <f t="shared" si="3"/>
        <v>-0.97956027841442328</v>
      </c>
      <c r="G48" s="1">
        <f t="shared" si="4"/>
        <v>-0.79529153157145371</v>
      </c>
    </row>
    <row r="49" spans="1:7" x14ac:dyDescent="0.25">
      <c r="A49" s="1">
        <v>44</v>
      </c>
      <c r="B49" s="1">
        <f t="shared" si="0"/>
        <v>-0.50252654219732995</v>
      </c>
      <c r="C49" s="1">
        <f t="shared" si="5"/>
        <v>0.7</v>
      </c>
      <c r="D49" s="1">
        <f t="shared" si="1"/>
        <v>-0.61102278472848404</v>
      </c>
      <c r="E49" s="1">
        <f t="shared" si="2"/>
        <v>-0.97956027841442328</v>
      </c>
      <c r="F49" s="1">
        <f t="shared" si="3"/>
        <v>-0.94494640008044928</v>
      </c>
      <c r="G49" s="1">
        <f t="shared" si="4"/>
        <v>-0.72373647113888961</v>
      </c>
    </row>
    <row r="50" spans="1:7" x14ac:dyDescent="0.25">
      <c r="A50" s="1">
        <v>45</v>
      </c>
      <c r="B50" s="1">
        <f t="shared" si="0"/>
        <v>-0.38544063456922883</v>
      </c>
      <c r="C50" s="1">
        <f t="shared" ref="C50:C52" si="6">C49</f>
        <v>0.7</v>
      </c>
      <c r="D50" s="1">
        <f t="shared" ref="D50:D52" si="7">B49</f>
        <v>-0.50252654219732995</v>
      </c>
      <c r="E50" s="1">
        <f t="shared" ref="E50:E52" si="8">F49</f>
        <v>-0.94494640008044928</v>
      </c>
      <c r="F50" s="1">
        <f t="shared" ref="F50:F52" si="9">-C50*B50+D50+C50*E50</f>
        <v>-0.89418057805518425</v>
      </c>
      <c r="G50" s="1">
        <f t="shared" si="4"/>
        <v>-0.63981060631220654</v>
      </c>
    </row>
    <row r="51" spans="1:7" x14ac:dyDescent="0.25">
      <c r="A51" s="1">
        <v>46</v>
      </c>
      <c r="B51" s="1">
        <f t="shared" si="0"/>
        <v>-0.2617664063496864</v>
      </c>
      <c r="C51" s="1">
        <f t="shared" si="6"/>
        <v>0.7</v>
      </c>
      <c r="D51" s="1">
        <f t="shared" si="7"/>
        <v>-0.38544063456922883</v>
      </c>
      <c r="E51" s="1">
        <f t="shared" si="8"/>
        <v>-0.89418057805518425</v>
      </c>
      <c r="F51" s="1">
        <f t="shared" si="9"/>
        <v>-0.82813055476307729</v>
      </c>
      <c r="G51" s="1">
        <f t="shared" si="4"/>
        <v>-0.54494848055638179</v>
      </c>
    </row>
    <row r="52" spans="1:7" x14ac:dyDescent="0.25">
      <c r="A52" s="1">
        <v>47</v>
      </c>
      <c r="B52" s="1">
        <f t="shared" si="0"/>
        <v>-0.13361781593159514</v>
      </c>
      <c r="C52" s="1">
        <f t="shared" si="6"/>
        <v>0.7</v>
      </c>
      <c r="D52" s="1">
        <f t="shared" si="7"/>
        <v>-0.2617664063496864</v>
      </c>
      <c r="E52" s="1">
        <f t="shared" si="8"/>
        <v>-0.82813055476307729</v>
      </c>
      <c r="F52" s="1">
        <f t="shared" si="9"/>
        <v>-0.74792532353172381</v>
      </c>
      <c r="G52" s="1">
        <f t="shared" si="4"/>
        <v>-0.44077156973165948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7"/>
  <sheetViews>
    <sheetView topLeftCell="B1" workbookViewId="0">
      <selection activeCell="N12" sqref="N12"/>
    </sheetView>
  </sheetViews>
  <sheetFormatPr baseColWidth="10" defaultRowHeight="15" x14ac:dyDescent="0.25"/>
  <cols>
    <col min="7" max="7" width="15.140625" customWidth="1"/>
  </cols>
  <sheetData>
    <row r="1" spans="1:17" ht="21" x14ac:dyDescent="0.35">
      <c r="A1" s="21" t="s">
        <v>59</v>
      </c>
      <c r="B1" s="1"/>
      <c r="C1" s="1"/>
      <c r="D1" s="24" t="s">
        <v>61</v>
      </c>
      <c r="E1" s="25"/>
      <c r="F1" s="25"/>
      <c r="G1" s="1"/>
      <c r="H1" s="1"/>
      <c r="I1" s="1"/>
      <c r="J1" s="1"/>
      <c r="K1" s="1"/>
      <c r="L1" s="1"/>
      <c r="M1" s="1" t="s">
        <v>82</v>
      </c>
      <c r="N1" s="1"/>
      <c r="O1" s="1"/>
      <c r="P1" s="1"/>
      <c r="Q1" s="1" t="s">
        <v>81</v>
      </c>
    </row>
    <row r="2" spans="1:17" x14ac:dyDescent="0.25">
      <c r="A2" s="1"/>
      <c r="B2" s="1"/>
      <c r="C2" s="7"/>
      <c r="D2" s="1"/>
      <c r="E2" s="2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3" t="s">
        <v>39</v>
      </c>
      <c r="C3" s="7"/>
      <c r="E3" s="26" t="s">
        <v>63</v>
      </c>
      <c r="F3" s="31" t="s">
        <v>64</v>
      </c>
      <c r="G3" s="29" t="s">
        <v>65</v>
      </c>
      <c r="H3" s="1"/>
      <c r="I3" s="7" t="s">
        <v>74</v>
      </c>
      <c r="J3" s="1"/>
      <c r="K3" s="1"/>
      <c r="L3" s="1"/>
      <c r="M3" s="1"/>
      <c r="N3" s="1"/>
      <c r="O3" s="1"/>
      <c r="P3" s="1"/>
      <c r="Q3" s="1"/>
    </row>
    <row r="4" spans="1:17" x14ac:dyDescent="0.25">
      <c r="A4" s="1" t="s">
        <v>55</v>
      </c>
      <c r="B4" s="23" t="s">
        <v>50</v>
      </c>
      <c r="C4" s="7" t="s">
        <v>60</v>
      </c>
      <c r="D4" s="1" t="s">
        <v>53</v>
      </c>
      <c r="E4" s="27" t="s">
        <v>52</v>
      </c>
      <c r="F4" s="32" t="s">
        <v>62</v>
      </c>
      <c r="G4" s="30" t="s">
        <v>66</v>
      </c>
      <c r="H4" s="1"/>
      <c r="I4" s="1" t="s">
        <v>70</v>
      </c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0</v>
      </c>
      <c r="B5" s="23">
        <v>0</v>
      </c>
      <c r="C5" s="11">
        <v>6.25E-2</v>
      </c>
      <c r="D5" s="33">
        <v>0</v>
      </c>
      <c r="E5" s="34">
        <f>$C$5*(B5-D5)+D5</f>
        <v>0</v>
      </c>
      <c r="F5" s="35">
        <f t="shared" ref="F5:F36" si="0">B5-D5</f>
        <v>0</v>
      </c>
      <c r="G5" s="36">
        <f>$C$8*B5-$C$11*D5</f>
        <v>0</v>
      </c>
      <c r="H5" s="1"/>
      <c r="I5" t="s">
        <v>73</v>
      </c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1</v>
      </c>
      <c r="B6" s="23">
        <v>0</v>
      </c>
      <c r="C6" s="1"/>
      <c r="D6" s="33">
        <f t="shared" ref="D6:D37" si="1">E5</f>
        <v>0</v>
      </c>
      <c r="E6" s="34">
        <f t="shared" ref="E6:E69" si="2">$C$5*(B6-D6)+D6</f>
        <v>0</v>
      </c>
      <c r="F6" s="35">
        <f t="shared" si="0"/>
        <v>0</v>
      </c>
      <c r="G6" s="36">
        <f t="shared" ref="G6:G69" si="3">$C$8*B6-$C$11*D6</f>
        <v>0</v>
      </c>
      <c r="H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2</v>
      </c>
      <c r="B7" s="23">
        <v>0</v>
      </c>
      <c r="C7" s="7" t="s">
        <v>67</v>
      </c>
      <c r="D7" s="33">
        <f t="shared" si="1"/>
        <v>0</v>
      </c>
      <c r="E7" s="34">
        <f t="shared" si="2"/>
        <v>0</v>
      </c>
      <c r="F7" s="35">
        <f t="shared" si="0"/>
        <v>0</v>
      </c>
      <c r="G7" s="36">
        <f t="shared" si="3"/>
        <v>0</v>
      </c>
      <c r="H7" s="1"/>
      <c r="I7" s="7" t="s">
        <v>69</v>
      </c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3</v>
      </c>
      <c r="B8" s="23">
        <v>0</v>
      </c>
      <c r="C8" s="11">
        <v>1</v>
      </c>
      <c r="D8" s="33">
        <f t="shared" si="1"/>
        <v>0</v>
      </c>
      <c r="E8" s="34">
        <f t="shared" si="2"/>
        <v>0</v>
      </c>
      <c r="F8" s="35">
        <f t="shared" si="0"/>
        <v>0</v>
      </c>
      <c r="G8" s="36">
        <f t="shared" si="3"/>
        <v>0</v>
      </c>
      <c r="H8" s="1"/>
      <c r="I8" s="1" t="s">
        <v>72</v>
      </c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4</v>
      </c>
      <c r="B9" s="23">
        <v>0</v>
      </c>
      <c r="D9" s="33">
        <f t="shared" si="1"/>
        <v>0</v>
      </c>
      <c r="E9" s="34">
        <f t="shared" si="2"/>
        <v>0</v>
      </c>
      <c r="F9" s="35">
        <f t="shared" si="0"/>
        <v>0</v>
      </c>
      <c r="G9" s="36">
        <f t="shared" si="3"/>
        <v>0</v>
      </c>
      <c r="H9" s="1"/>
      <c r="I9" s="1" t="s">
        <v>71</v>
      </c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5</v>
      </c>
      <c r="B10" s="23">
        <v>0</v>
      </c>
      <c r="C10" s="7" t="s">
        <v>68</v>
      </c>
      <c r="D10" s="33">
        <f t="shared" si="1"/>
        <v>0</v>
      </c>
      <c r="E10" s="34">
        <f t="shared" si="2"/>
        <v>0</v>
      </c>
      <c r="F10" s="35">
        <f t="shared" si="0"/>
        <v>0</v>
      </c>
      <c r="G10" s="36">
        <f t="shared" si="3"/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6</v>
      </c>
      <c r="B11" s="23">
        <v>0</v>
      </c>
      <c r="C11" s="11">
        <v>0</v>
      </c>
      <c r="D11" s="33">
        <f t="shared" si="1"/>
        <v>0</v>
      </c>
      <c r="E11" s="34">
        <f t="shared" si="2"/>
        <v>0</v>
      </c>
      <c r="F11" s="35">
        <f t="shared" si="0"/>
        <v>0</v>
      </c>
      <c r="G11" s="36">
        <f t="shared" si="3"/>
        <v>0</v>
      </c>
      <c r="H11" s="1"/>
      <c r="M11" s="1"/>
      <c r="N11" s="1"/>
      <c r="O11" s="1"/>
      <c r="P11" s="1"/>
      <c r="Q11" s="1" t="s">
        <v>80</v>
      </c>
    </row>
    <row r="12" spans="1:17" x14ac:dyDescent="0.25">
      <c r="A12" s="1">
        <v>7</v>
      </c>
      <c r="B12" s="23">
        <v>0</v>
      </c>
      <c r="C12" s="1"/>
      <c r="D12" s="33">
        <f t="shared" si="1"/>
        <v>0</v>
      </c>
      <c r="E12" s="34">
        <f t="shared" si="2"/>
        <v>0</v>
      </c>
      <c r="F12" s="35">
        <f t="shared" si="0"/>
        <v>0</v>
      </c>
      <c r="G12" s="36">
        <f t="shared" si="3"/>
        <v>0</v>
      </c>
      <c r="H12" s="1"/>
      <c r="M12" s="1"/>
      <c r="N12" s="1"/>
      <c r="O12" s="1"/>
      <c r="P12" s="1"/>
      <c r="Q12" s="1"/>
    </row>
    <row r="13" spans="1:17" x14ac:dyDescent="0.25">
      <c r="A13" s="1">
        <v>8</v>
      </c>
      <c r="B13" s="23">
        <v>0</v>
      </c>
      <c r="C13" s="1"/>
      <c r="D13" s="33">
        <f t="shared" si="1"/>
        <v>0</v>
      </c>
      <c r="E13" s="34">
        <f t="shared" si="2"/>
        <v>0</v>
      </c>
      <c r="F13" s="35">
        <f t="shared" si="0"/>
        <v>0</v>
      </c>
      <c r="G13" s="36">
        <f t="shared" si="3"/>
        <v>0</v>
      </c>
      <c r="H13" s="1"/>
      <c r="K13" s="8" t="s">
        <v>78</v>
      </c>
      <c r="M13" s="1"/>
      <c r="N13" s="1"/>
      <c r="O13" s="1"/>
      <c r="P13" s="1"/>
      <c r="Q13" s="1"/>
    </row>
    <row r="14" spans="1:17" x14ac:dyDescent="0.25">
      <c r="A14" s="1">
        <v>9</v>
      </c>
      <c r="B14" s="23">
        <v>0</v>
      </c>
      <c r="C14" s="1"/>
      <c r="D14" s="33">
        <f t="shared" si="1"/>
        <v>0</v>
      </c>
      <c r="E14" s="34">
        <f t="shared" si="2"/>
        <v>0</v>
      </c>
      <c r="F14" s="35">
        <f t="shared" si="0"/>
        <v>0</v>
      </c>
      <c r="G14" s="36">
        <f t="shared" si="3"/>
        <v>0</v>
      </c>
      <c r="H14" s="1"/>
      <c r="K14">
        <v>48</v>
      </c>
      <c r="M14" s="1"/>
      <c r="N14" s="1"/>
      <c r="O14" s="1"/>
      <c r="P14" s="1"/>
      <c r="Q14" s="1"/>
    </row>
    <row r="15" spans="1:17" x14ac:dyDescent="0.25">
      <c r="A15" s="22">
        <v>10</v>
      </c>
      <c r="B15" s="23">
        <v>1</v>
      </c>
      <c r="C15" s="1"/>
      <c r="D15" s="33">
        <f t="shared" si="1"/>
        <v>0</v>
      </c>
      <c r="E15" s="34">
        <f t="shared" si="2"/>
        <v>6.25E-2</v>
      </c>
      <c r="F15" s="35">
        <f t="shared" si="0"/>
        <v>1</v>
      </c>
      <c r="G15" s="36">
        <f t="shared" si="3"/>
        <v>1</v>
      </c>
      <c r="H15" s="1" t="b">
        <f t="shared" ref="H15:H24" si="4">D15&gt;0.632</f>
        <v>0</v>
      </c>
      <c r="I15" s="7" t="s">
        <v>75</v>
      </c>
      <c r="J15" s="7" t="s">
        <v>76</v>
      </c>
      <c r="K15" s="7" t="s">
        <v>77</v>
      </c>
      <c r="L15" s="1"/>
      <c r="M15" s="1"/>
      <c r="N15" s="1"/>
      <c r="O15" s="1"/>
      <c r="P15" s="1"/>
      <c r="Q15" s="1"/>
    </row>
    <row r="16" spans="1:17" x14ac:dyDescent="0.25">
      <c r="A16" s="1">
        <v>11</v>
      </c>
      <c r="B16" s="23">
        <v>1</v>
      </c>
      <c r="C16" s="1"/>
      <c r="D16" s="33">
        <f t="shared" si="1"/>
        <v>6.25E-2</v>
      </c>
      <c r="E16" s="34">
        <f t="shared" si="2"/>
        <v>0.12109375</v>
      </c>
      <c r="F16" s="35">
        <f t="shared" si="0"/>
        <v>0.9375</v>
      </c>
      <c r="G16" s="36">
        <f t="shared" si="3"/>
        <v>1</v>
      </c>
      <c r="H16" s="1" t="b">
        <f t="shared" si="4"/>
        <v>0</v>
      </c>
      <c r="I16" s="1">
        <f>MATCH(I17,H15:H75,0)-1</f>
        <v>16</v>
      </c>
      <c r="J16" s="37">
        <f>(1/K14)*I16*1000</f>
        <v>333.33333333333331</v>
      </c>
      <c r="K16" s="37">
        <f>159155/J16</f>
        <v>477.46500000000003</v>
      </c>
      <c r="L16" s="25" t="s">
        <v>19</v>
      </c>
      <c r="M16" s="1"/>
      <c r="N16" s="1"/>
      <c r="O16" s="1"/>
      <c r="P16" s="1"/>
      <c r="Q16" s="1"/>
    </row>
    <row r="17" spans="1:17" x14ac:dyDescent="0.25">
      <c r="A17" s="1">
        <v>12</v>
      </c>
      <c r="B17" s="23">
        <v>1</v>
      </c>
      <c r="C17" s="1"/>
      <c r="D17" s="33">
        <f t="shared" si="1"/>
        <v>0.12109375</v>
      </c>
      <c r="E17" s="34">
        <f t="shared" si="2"/>
        <v>0.176025390625</v>
      </c>
      <c r="F17" s="35">
        <f t="shared" si="0"/>
        <v>0.87890625</v>
      </c>
      <c r="G17" s="36">
        <f t="shared" si="3"/>
        <v>1</v>
      </c>
      <c r="H17" s="1" t="b">
        <f t="shared" si="4"/>
        <v>0</v>
      </c>
      <c r="I17" s="1" t="b">
        <v>1</v>
      </c>
      <c r="J17" s="1"/>
      <c r="K17" s="1">
        <f>2*PI()*K16/(K14*1000)</f>
        <v>6.2500022347760448E-2</v>
      </c>
      <c r="L17" t="s">
        <v>60</v>
      </c>
      <c r="M17" s="1"/>
      <c r="N17" s="1"/>
      <c r="O17" s="1"/>
      <c r="P17" s="1"/>
      <c r="Q17" s="1"/>
    </row>
    <row r="18" spans="1:17" x14ac:dyDescent="0.25">
      <c r="A18" s="1">
        <v>13</v>
      </c>
      <c r="B18" s="23">
        <v>1</v>
      </c>
      <c r="C18" s="1"/>
      <c r="D18" s="33">
        <f t="shared" si="1"/>
        <v>0.176025390625</v>
      </c>
      <c r="E18" s="34">
        <f t="shared" si="2"/>
        <v>0.2275238037109375</v>
      </c>
      <c r="F18" s="35">
        <f t="shared" si="0"/>
        <v>0.823974609375</v>
      </c>
      <c r="G18" s="36">
        <f t="shared" si="3"/>
        <v>1</v>
      </c>
      <c r="H18" s="1" t="b">
        <f t="shared" si="4"/>
        <v>0</v>
      </c>
      <c r="I18" s="1" t="s">
        <v>79</v>
      </c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>
        <v>14</v>
      </c>
      <c r="B19" s="23">
        <v>1</v>
      </c>
      <c r="C19" s="1"/>
      <c r="D19" s="33">
        <f t="shared" si="1"/>
        <v>0.2275238037109375</v>
      </c>
      <c r="E19" s="34">
        <f t="shared" si="2"/>
        <v>0.27580356597900391</v>
      </c>
      <c r="F19" s="35">
        <f t="shared" si="0"/>
        <v>0.7724761962890625</v>
      </c>
      <c r="G19" s="36">
        <f t="shared" si="3"/>
        <v>1</v>
      </c>
      <c r="H19" s="1" t="b">
        <f t="shared" si="4"/>
        <v>0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>
        <v>15</v>
      </c>
      <c r="B20" s="23">
        <v>1</v>
      </c>
      <c r="C20" s="1"/>
      <c r="D20" s="33">
        <f t="shared" si="1"/>
        <v>0.27580356597900391</v>
      </c>
      <c r="E20" s="34">
        <f t="shared" si="2"/>
        <v>0.32106584310531616</v>
      </c>
      <c r="F20" s="35">
        <f t="shared" si="0"/>
        <v>0.72419643402099609</v>
      </c>
      <c r="G20" s="36">
        <f t="shared" si="3"/>
        <v>1</v>
      </c>
      <c r="H20" s="1" t="b">
        <f t="shared" si="4"/>
        <v>0</v>
      </c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>
        <v>16</v>
      </c>
      <c r="B21" s="23">
        <v>1</v>
      </c>
      <c r="C21" s="1"/>
      <c r="D21" s="33">
        <f t="shared" si="1"/>
        <v>0.32106584310531616</v>
      </c>
      <c r="E21" s="34">
        <f t="shared" si="2"/>
        <v>0.3634992279112339</v>
      </c>
      <c r="F21" s="35">
        <f t="shared" si="0"/>
        <v>0.67893415689468384</v>
      </c>
      <c r="G21" s="36">
        <f t="shared" si="3"/>
        <v>1</v>
      </c>
      <c r="H21" s="1" t="b">
        <f t="shared" si="4"/>
        <v>0</v>
      </c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>
        <v>17</v>
      </c>
      <c r="B22" s="23">
        <v>1</v>
      </c>
      <c r="C22" s="1"/>
      <c r="D22" s="33">
        <f t="shared" si="1"/>
        <v>0.3634992279112339</v>
      </c>
      <c r="E22" s="34">
        <f t="shared" si="2"/>
        <v>0.40328052616678178</v>
      </c>
      <c r="F22" s="35">
        <f t="shared" si="0"/>
        <v>0.6365007720887661</v>
      </c>
      <c r="G22" s="36">
        <f t="shared" si="3"/>
        <v>1</v>
      </c>
      <c r="H22" s="1" t="b">
        <f t="shared" si="4"/>
        <v>0</v>
      </c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>
        <v>22</v>
      </c>
      <c r="B23" s="23">
        <v>1</v>
      </c>
      <c r="C23" s="1"/>
      <c r="D23" s="33">
        <f t="shared" si="1"/>
        <v>0.40328052616678178</v>
      </c>
      <c r="E23" s="34">
        <f t="shared" si="2"/>
        <v>0.44057549328135792</v>
      </c>
      <c r="F23" s="35">
        <f t="shared" si="0"/>
        <v>0.59671947383321822</v>
      </c>
      <c r="G23" s="36">
        <f t="shared" si="3"/>
        <v>1</v>
      </c>
      <c r="H23" s="1" t="b">
        <f t="shared" si="4"/>
        <v>0</v>
      </c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>
        <v>22</v>
      </c>
      <c r="B24" s="23">
        <v>1</v>
      </c>
      <c r="C24" s="1"/>
      <c r="D24" s="33">
        <f t="shared" si="1"/>
        <v>0.44057549328135792</v>
      </c>
      <c r="E24" s="34">
        <f t="shared" si="2"/>
        <v>0.47553952495127305</v>
      </c>
      <c r="F24" s="35">
        <f t="shared" si="0"/>
        <v>0.55942450671864208</v>
      </c>
      <c r="G24" s="36">
        <f t="shared" si="3"/>
        <v>1</v>
      </c>
      <c r="H24" s="1" t="b">
        <f t="shared" si="4"/>
        <v>0</v>
      </c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>
        <v>22</v>
      </c>
      <c r="B25" s="23">
        <v>1</v>
      </c>
      <c r="C25" s="1"/>
      <c r="D25" s="33">
        <f t="shared" si="1"/>
        <v>0.47553952495127305</v>
      </c>
      <c r="E25" s="34">
        <f t="shared" si="2"/>
        <v>0.50831830464181849</v>
      </c>
      <c r="F25" s="35">
        <f t="shared" si="0"/>
        <v>0.52446047504872695</v>
      </c>
      <c r="G25" s="36">
        <f t="shared" si="3"/>
        <v>1</v>
      </c>
      <c r="H25" s="1" t="b">
        <f>D25&gt;0.632</f>
        <v>0</v>
      </c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>
        <v>22</v>
      </c>
      <c r="B26" s="23">
        <v>1</v>
      </c>
      <c r="C26" s="1"/>
      <c r="D26" s="33">
        <f t="shared" si="1"/>
        <v>0.50831830464181849</v>
      </c>
      <c r="E26" s="34">
        <f t="shared" si="2"/>
        <v>0.53904841060170483</v>
      </c>
      <c r="F26" s="35">
        <f t="shared" si="0"/>
        <v>0.49168169535818151</v>
      </c>
      <c r="G26" s="36">
        <f t="shared" si="3"/>
        <v>1</v>
      </c>
      <c r="H26" s="1" t="b">
        <f t="shared" ref="H26:H75" si="5">D26&gt;0.632</f>
        <v>0</v>
      </c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>
        <v>22</v>
      </c>
      <c r="B27" s="23">
        <v>1</v>
      </c>
      <c r="C27" s="1"/>
      <c r="D27" s="33">
        <f t="shared" si="1"/>
        <v>0.53904841060170483</v>
      </c>
      <c r="E27" s="34">
        <f t="shared" si="2"/>
        <v>0.56785788493909828</v>
      </c>
      <c r="F27" s="35">
        <f t="shared" si="0"/>
        <v>0.46095158939829517</v>
      </c>
      <c r="G27" s="36">
        <f t="shared" si="3"/>
        <v>1</v>
      </c>
      <c r="H27" s="1" t="b">
        <f t="shared" si="5"/>
        <v>0</v>
      </c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>
        <v>23</v>
      </c>
      <c r="B28" s="23">
        <v>1</v>
      </c>
      <c r="C28" s="1"/>
      <c r="D28" s="33">
        <f t="shared" si="1"/>
        <v>0.56785788493909828</v>
      </c>
      <c r="E28" s="34">
        <f t="shared" si="2"/>
        <v>0.59486676713040465</v>
      </c>
      <c r="F28" s="35">
        <f t="shared" si="0"/>
        <v>0.43214211506090172</v>
      </c>
      <c r="G28" s="36">
        <f t="shared" si="3"/>
        <v>1</v>
      </c>
      <c r="H28" s="1" t="b">
        <f t="shared" si="5"/>
        <v>0</v>
      </c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>
        <v>24</v>
      </c>
      <c r="B29" s="23">
        <v>1</v>
      </c>
      <c r="C29" s="1"/>
      <c r="D29" s="33">
        <f t="shared" si="1"/>
        <v>0.59486676713040465</v>
      </c>
      <c r="E29" s="34">
        <f t="shared" si="2"/>
        <v>0.62018759418475433</v>
      </c>
      <c r="F29" s="35">
        <f t="shared" si="0"/>
        <v>0.40513323286959535</v>
      </c>
      <c r="G29" s="36">
        <f t="shared" si="3"/>
        <v>1</v>
      </c>
      <c r="H29" s="1" t="b">
        <f t="shared" si="5"/>
        <v>0</v>
      </c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>
        <v>25</v>
      </c>
      <c r="B30" s="23">
        <v>1</v>
      </c>
      <c r="C30" s="1"/>
      <c r="D30" s="33">
        <f t="shared" si="1"/>
        <v>0.62018759418475433</v>
      </c>
      <c r="E30" s="34">
        <f t="shared" si="2"/>
        <v>0.64392586954820719</v>
      </c>
      <c r="F30" s="35">
        <f t="shared" si="0"/>
        <v>0.37981240581524567</v>
      </c>
      <c r="G30" s="36">
        <f t="shared" si="3"/>
        <v>1</v>
      </c>
      <c r="H30" s="1" t="b">
        <f t="shared" si="5"/>
        <v>0</v>
      </c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>
        <v>26</v>
      </c>
      <c r="B31" s="23">
        <v>1</v>
      </c>
      <c r="C31" s="1"/>
      <c r="D31" s="33">
        <f t="shared" si="1"/>
        <v>0.64392586954820719</v>
      </c>
      <c r="E31" s="34">
        <f t="shared" si="2"/>
        <v>0.66618050270144424</v>
      </c>
      <c r="F31" s="35">
        <f t="shared" si="0"/>
        <v>0.35607413045179281</v>
      </c>
      <c r="G31" s="36">
        <f t="shared" si="3"/>
        <v>1</v>
      </c>
      <c r="H31" s="1" t="b">
        <f t="shared" si="5"/>
        <v>1</v>
      </c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>
        <v>27</v>
      </c>
      <c r="B32" s="23">
        <v>1</v>
      </c>
      <c r="C32" s="1"/>
      <c r="D32" s="33">
        <f t="shared" si="1"/>
        <v>0.66618050270144424</v>
      </c>
      <c r="E32" s="34">
        <f t="shared" si="2"/>
        <v>0.68704422128260401</v>
      </c>
      <c r="F32" s="35">
        <f t="shared" si="0"/>
        <v>0.33381949729855576</v>
      </c>
      <c r="G32" s="36">
        <f t="shared" si="3"/>
        <v>1</v>
      </c>
      <c r="H32" s="1" t="b">
        <f t="shared" si="5"/>
        <v>1</v>
      </c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>
        <v>28</v>
      </c>
      <c r="B33" s="23">
        <v>1</v>
      </c>
      <c r="C33" s="1"/>
      <c r="D33" s="33">
        <f t="shared" si="1"/>
        <v>0.68704422128260401</v>
      </c>
      <c r="E33" s="34">
        <f t="shared" si="2"/>
        <v>0.7066039574524412</v>
      </c>
      <c r="F33" s="35">
        <f t="shared" si="0"/>
        <v>0.31295577871739599</v>
      </c>
      <c r="G33" s="36">
        <f t="shared" si="3"/>
        <v>1</v>
      </c>
      <c r="H33" s="1" t="b">
        <f t="shared" si="5"/>
        <v>1</v>
      </c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>
        <v>29</v>
      </c>
      <c r="B34" s="23">
        <v>1</v>
      </c>
      <c r="C34" s="1"/>
      <c r="D34" s="33">
        <f t="shared" si="1"/>
        <v>0.7066039574524412</v>
      </c>
      <c r="E34" s="34">
        <f t="shared" si="2"/>
        <v>0.72494121011166368</v>
      </c>
      <c r="F34" s="35">
        <f t="shared" si="0"/>
        <v>0.2933960425475588</v>
      </c>
      <c r="G34" s="36">
        <f t="shared" si="3"/>
        <v>1</v>
      </c>
      <c r="H34" s="1" t="b">
        <f t="shared" si="5"/>
        <v>1</v>
      </c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>
        <v>30</v>
      </c>
      <c r="B35" s="23">
        <v>1</v>
      </c>
      <c r="C35" s="1"/>
      <c r="D35" s="33">
        <f t="shared" si="1"/>
        <v>0.72494121011166368</v>
      </c>
      <c r="E35" s="34">
        <f t="shared" si="2"/>
        <v>0.74213238447968466</v>
      </c>
      <c r="F35" s="35">
        <f t="shared" si="0"/>
        <v>0.27505878988833632</v>
      </c>
      <c r="G35" s="36">
        <f t="shared" si="3"/>
        <v>1</v>
      </c>
      <c r="H35" s="1" t="b">
        <f t="shared" si="5"/>
        <v>1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1">
        <v>31</v>
      </c>
      <c r="B36" s="23">
        <v>1</v>
      </c>
      <c r="C36" s="1"/>
      <c r="D36" s="33">
        <f t="shared" si="1"/>
        <v>0.74213238447968466</v>
      </c>
      <c r="E36" s="34">
        <f t="shared" si="2"/>
        <v>0.75824911044970433</v>
      </c>
      <c r="F36" s="35">
        <f t="shared" si="0"/>
        <v>0.25786761552031534</v>
      </c>
      <c r="G36" s="36">
        <f t="shared" si="3"/>
        <v>1</v>
      </c>
      <c r="H36" s="1" t="b">
        <f t="shared" si="5"/>
        <v>1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 s="1">
        <v>32</v>
      </c>
      <c r="B37" s="23">
        <v>1</v>
      </c>
      <c r="C37" s="1"/>
      <c r="D37" s="33">
        <f t="shared" si="1"/>
        <v>0.75824911044970433</v>
      </c>
      <c r="E37" s="34">
        <f t="shared" si="2"/>
        <v>0.77335854104659785</v>
      </c>
      <c r="F37" s="35">
        <f t="shared" ref="F37:F68" si="6">B37-D37</f>
        <v>0.24175088955029567</v>
      </c>
      <c r="G37" s="36">
        <f t="shared" si="3"/>
        <v>1</v>
      </c>
      <c r="H37" s="1" t="b">
        <f t="shared" si="5"/>
        <v>1</v>
      </c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1">
        <v>33</v>
      </c>
      <c r="B38" s="23">
        <v>1</v>
      </c>
      <c r="C38" s="1"/>
      <c r="D38" s="33">
        <f t="shared" ref="D38:D69" si="7">E37</f>
        <v>0.77335854104659785</v>
      </c>
      <c r="E38" s="34">
        <f t="shared" si="2"/>
        <v>0.78752363223118549</v>
      </c>
      <c r="F38" s="35">
        <f t="shared" si="6"/>
        <v>0.22664145895340215</v>
      </c>
      <c r="G38" s="36">
        <f t="shared" si="3"/>
        <v>1</v>
      </c>
      <c r="H38" s="1" t="b">
        <f t="shared" si="5"/>
        <v>1</v>
      </c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5">
      <c r="A39" s="1">
        <v>34</v>
      </c>
      <c r="B39" s="23">
        <v>1</v>
      </c>
      <c r="C39" s="1"/>
      <c r="D39" s="33">
        <f t="shared" si="7"/>
        <v>0.78752363223118549</v>
      </c>
      <c r="E39" s="34">
        <f t="shared" si="2"/>
        <v>0.80080340521673643</v>
      </c>
      <c r="F39" s="35">
        <f t="shared" si="6"/>
        <v>0.21247636776881451</v>
      </c>
      <c r="G39" s="36">
        <f t="shared" si="3"/>
        <v>1</v>
      </c>
      <c r="H39" s="1" t="b">
        <f t="shared" si="5"/>
        <v>1</v>
      </c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5">
      <c r="A40" s="1">
        <v>35</v>
      </c>
      <c r="B40" s="23">
        <v>1</v>
      </c>
      <c r="C40" s="1"/>
      <c r="D40" s="33">
        <f t="shared" si="7"/>
        <v>0.80080340521673643</v>
      </c>
      <c r="E40" s="34">
        <f t="shared" si="2"/>
        <v>0.81325319239069038</v>
      </c>
      <c r="F40" s="35">
        <f t="shared" si="6"/>
        <v>0.19919659478326357</v>
      </c>
      <c r="G40" s="36">
        <f t="shared" si="3"/>
        <v>1</v>
      </c>
      <c r="H40" s="1" t="b">
        <f t="shared" si="5"/>
        <v>1</v>
      </c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1">
        <v>36</v>
      </c>
      <c r="B41" s="23">
        <v>1</v>
      </c>
      <c r="C41" s="1"/>
      <c r="D41" s="33">
        <f t="shared" si="7"/>
        <v>0.81325319239069038</v>
      </c>
      <c r="E41" s="34">
        <f t="shared" si="2"/>
        <v>0.82492486786627228</v>
      </c>
      <c r="F41" s="35">
        <f t="shared" si="6"/>
        <v>0.18674680760930962</v>
      </c>
      <c r="G41" s="36">
        <f t="shared" si="3"/>
        <v>1</v>
      </c>
      <c r="H41" s="1" t="b">
        <f t="shared" si="5"/>
        <v>1</v>
      </c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1">
        <v>37</v>
      </c>
      <c r="B42" s="23">
        <v>1</v>
      </c>
      <c r="C42" s="1"/>
      <c r="D42" s="33">
        <f t="shared" si="7"/>
        <v>0.82492486786627228</v>
      </c>
      <c r="E42" s="34">
        <f t="shared" si="2"/>
        <v>0.83586706362463026</v>
      </c>
      <c r="F42" s="35">
        <f t="shared" si="6"/>
        <v>0.17507513213372772</v>
      </c>
      <c r="G42" s="36">
        <f t="shared" si="3"/>
        <v>1</v>
      </c>
      <c r="H42" s="1" t="b">
        <f t="shared" si="5"/>
        <v>1</v>
      </c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1">
        <v>38</v>
      </c>
      <c r="B43" s="23">
        <v>1</v>
      </c>
      <c r="C43" s="1"/>
      <c r="D43" s="33">
        <f t="shared" si="7"/>
        <v>0.83586706362463026</v>
      </c>
      <c r="E43" s="34">
        <f t="shared" si="2"/>
        <v>0.84612537214809092</v>
      </c>
      <c r="F43" s="35">
        <f t="shared" si="6"/>
        <v>0.16413293637536974</v>
      </c>
      <c r="G43" s="36">
        <f t="shared" si="3"/>
        <v>1</v>
      </c>
      <c r="H43" s="1" t="b">
        <f t="shared" si="5"/>
        <v>1</v>
      </c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5">
      <c r="A44" s="1">
        <v>39</v>
      </c>
      <c r="B44" s="23">
        <v>1</v>
      </c>
      <c r="C44" s="1"/>
      <c r="D44" s="33">
        <f t="shared" si="7"/>
        <v>0.84612537214809092</v>
      </c>
      <c r="E44" s="34">
        <f t="shared" si="2"/>
        <v>0.85574253638883524</v>
      </c>
      <c r="F44" s="35">
        <f t="shared" si="6"/>
        <v>0.15387462785190908</v>
      </c>
      <c r="G44" s="36">
        <f t="shared" si="3"/>
        <v>1</v>
      </c>
      <c r="H44" s="1" t="b">
        <f t="shared" si="5"/>
        <v>1</v>
      </c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5">
      <c r="A45" s="1">
        <v>40</v>
      </c>
      <c r="B45" s="23">
        <v>1</v>
      </c>
      <c r="C45" s="1"/>
      <c r="D45" s="33">
        <f t="shared" si="7"/>
        <v>0.85574253638883524</v>
      </c>
      <c r="E45" s="34">
        <f t="shared" si="2"/>
        <v>0.86475862786453306</v>
      </c>
      <c r="F45" s="35">
        <f t="shared" si="6"/>
        <v>0.14425746361116476</v>
      </c>
      <c r="G45" s="36">
        <f t="shared" si="3"/>
        <v>1</v>
      </c>
      <c r="H45" s="1" t="b">
        <f t="shared" si="5"/>
        <v>1</v>
      </c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5">
      <c r="A46" s="1">
        <v>41</v>
      </c>
      <c r="B46" s="23">
        <v>1</v>
      </c>
      <c r="C46" s="1"/>
      <c r="D46" s="33">
        <f t="shared" si="7"/>
        <v>0.86475862786453306</v>
      </c>
      <c r="E46" s="34">
        <f t="shared" si="2"/>
        <v>0.87321121362299969</v>
      </c>
      <c r="F46" s="35">
        <f t="shared" si="6"/>
        <v>0.13524137213546694</v>
      </c>
      <c r="G46" s="36">
        <f t="shared" si="3"/>
        <v>1</v>
      </c>
      <c r="H46" s="1" t="b">
        <f t="shared" si="5"/>
        <v>1</v>
      </c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5">
      <c r="A47" s="1">
        <v>42</v>
      </c>
      <c r="B47" s="23">
        <v>1</v>
      </c>
      <c r="C47" s="1"/>
      <c r="D47" s="33">
        <f t="shared" si="7"/>
        <v>0.87321121362299969</v>
      </c>
      <c r="E47" s="34">
        <f t="shared" si="2"/>
        <v>0.88113551277156221</v>
      </c>
      <c r="F47" s="35">
        <f t="shared" si="6"/>
        <v>0.12678878637700031</v>
      </c>
      <c r="G47" s="36">
        <f t="shared" si="3"/>
        <v>1</v>
      </c>
      <c r="H47" s="1" t="b">
        <f t="shared" si="5"/>
        <v>1</v>
      </c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5">
      <c r="A48" s="1">
        <v>43</v>
      </c>
      <c r="B48" s="23">
        <v>1</v>
      </c>
      <c r="C48" s="1"/>
      <c r="D48" s="33">
        <f t="shared" si="7"/>
        <v>0.88113551277156221</v>
      </c>
      <c r="E48" s="34">
        <f t="shared" si="2"/>
        <v>0.88856454322333955</v>
      </c>
      <c r="F48" s="35">
        <f t="shared" si="6"/>
        <v>0.11886448722843779</v>
      </c>
      <c r="G48" s="36">
        <f t="shared" si="3"/>
        <v>1</v>
      </c>
      <c r="H48" s="1" t="b">
        <f t="shared" si="5"/>
        <v>1</v>
      </c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5">
      <c r="A49" s="1">
        <v>44</v>
      </c>
      <c r="B49" s="23">
        <v>1</v>
      </c>
      <c r="C49" s="1"/>
      <c r="D49" s="33">
        <f t="shared" si="7"/>
        <v>0.88856454322333955</v>
      </c>
      <c r="E49" s="34">
        <f t="shared" si="2"/>
        <v>0.89552925927188087</v>
      </c>
      <c r="F49" s="35">
        <f t="shared" si="6"/>
        <v>0.11143545677666045</v>
      </c>
      <c r="G49" s="36">
        <f t="shared" si="3"/>
        <v>1</v>
      </c>
      <c r="H49" s="1" t="b">
        <f t="shared" si="5"/>
        <v>1</v>
      </c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5">
      <c r="A50" s="1">
        <v>45</v>
      </c>
      <c r="B50" s="23">
        <v>1</v>
      </c>
      <c r="C50" s="1"/>
      <c r="D50" s="33">
        <f t="shared" si="7"/>
        <v>0.89552925927188087</v>
      </c>
      <c r="E50" s="34">
        <f t="shared" si="2"/>
        <v>0.90205868056738836</v>
      </c>
      <c r="F50" s="35">
        <f t="shared" si="6"/>
        <v>0.10447074072811913</v>
      </c>
      <c r="G50" s="36">
        <f t="shared" si="3"/>
        <v>1</v>
      </c>
      <c r="H50" s="1" t="b">
        <f t="shared" si="5"/>
        <v>1</v>
      </c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5">
      <c r="A51" s="1">
        <v>46</v>
      </c>
      <c r="B51" s="23">
        <v>1</v>
      </c>
      <c r="C51" s="1"/>
      <c r="D51" s="33">
        <f t="shared" si="7"/>
        <v>0.90205868056738836</v>
      </c>
      <c r="E51" s="34">
        <f t="shared" si="2"/>
        <v>0.90818001303192664</v>
      </c>
      <c r="F51" s="35">
        <f t="shared" si="6"/>
        <v>9.794131943261164E-2</v>
      </c>
      <c r="G51" s="36">
        <f t="shared" si="3"/>
        <v>1</v>
      </c>
      <c r="H51" s="1" t="b">
        <f t="shared" si="5"/>
        <v>1</v>
      </c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5">
      <c r="A52" s="1">
        <v>47</v>
      </c>
      <c r="B52" s="23">
        <v>1</v>
      </c>
      <c r="C52" s="1"/>
      <c r="D52" s="33">
        <f t="shared" si="7"/>
        <v>0.90818001303192664</v>
      </c>
      <c r="E52" s="34">
        <f t="shared" si="2"/>
        <v>0.91391876221743118</v>
      </c>
      <c r="F52" s="35">
        <f t="shared" si="6"/>
        <v>9.1819986968073364E-2</v>
      </c>
      <c r="G52" s="36">
        <f t="shared" si="3"/>
        <v>1</v>
      </c>
      <c r="H52" s="1" t="b">
        <f t="shared" si="5"/>
        <v>1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5">
      <c r="A53" s="1">
        <v>48</v>
      </c>
      <c r="B53" s="23">
        <v>1</v>
      </c>
      <c r="C53" s="1"/>
      <c r="D53" s="33">
        <f t="shared" si="7"/>
        <v>0.91391876221743118</v>
      </c>
      <c r="E53" s="34">
        <f t="shared" si="2"/>
        <v>0.91929883957884173</v>
      </c>
      <c r="F53" s="35">
        <f t="shared" si="6"/>
        <v>8.608123778256882E-2</v>
      </c>
      <c r="G53" s="36">
        <f t="shared" si="3"/>
        <v>1</v>
      </c>
      <c r="H53" s="1" t="b">
        <f t="shared" si="5"/>
        <v>1</v>
      </c>
    </row>
    <row r="54" spans="1:17" x14ac:dyDescent="0.25">
      <c r="A54" s="1">
        <v>49</v>
      </c>
      <c r="B54" s="23">
        <v>1</v>
      </c>
      <c r="C54" s="1"/>
      <c r="D54" s="33">
        <f t="shared" si="7"/>
        <v>0.91929883957884173</v>
      </c>
      <c r="E54" s="34">
        <f t="shared" si="2"/>
        <v>0.92434266210516414</v>
      </c>
      <c r="F54" s="35">
        <f t="shared" si="6"/>
        <v>8.0701160421158269E-2</v>
      </c>
      <c r="G54" s="36">
        <f t="shared" si="3"/>
        <v>1</v>
      </c>
      <c r="H54" s="1" t="b">
        <f t="shared" si="5"/>
        <v>1</v>
      </c>
    </row>
    <row r="55" spans="1:17" x14ac:dyDescent="0.25">
      <c r="A55" s="1">
        <v>50</v>
      </c>
      <c r="B55" s="23">
        <v>1</v>
      </c>
      <c r="C55" s="1"/>
      <c r="D55" s="33">
        <f t="shared" si="7"/>
        <v>0.92434266210516414</v>
      </c>
      <c r="E55" s="34">
        <f t="shared" si="2"/>
        <v>0.92907124572359134</v>
      </c>
      <c r="F55" s="35">
        <f t="shared" si="6"/>
        <v>7.5657337894835863E-2</v>
      </c>
      <c r="G55" s="36">
        <f t="shared" si="3"/>
        <v>1</v>
      </c>
      <c r="H55" s="1" t="b">
        <f t="shared" si="5"/>
        <v>1</v>
      </c>
    </row>
    <row r="56" spans="1:17" x14ac:dyDescent="0.25">
      <c r="A56" s="1">
        <v>51</v>
      </c>
      <c r="B56" s="23">
        <v>1</v>
      </c>
      <c r="C56" s="1"/>
      <c r="D56" s="33">
        <f t="shared" si="7"/>
        <v>0.92907124572359134</v>
      </c>
      <c r="E56" s="34">
        <f t="shared" si="2"/>
        <v>0.93350429286586689</v>
      </c>
      <c r="F56" s="35">
        <f t="shared" si="6"/>
        <v>7.0928754276408656E-2</v>
      </c>
      <c r="G56" s="36">
        <f t="shared" si="3"/>
        <v>1</v>
      </c>
      <c r="H56" s="1" t="b">
        <f t="shared" si="5"/>
        <v>1</v>
      </c>
    </row>
    <row r="57" spans="1:17" x14ac:dyDescent="0.25">
      <c r="A57" s="1">
        <v>52</v>
      </c>
      <c r="B57" s="23">
        <v>1</v>
      </c>
      <c r="C57" s="1"/>
      <c r="D57" s="33">
        <f t="shared" si="7"/>
        <v>0.93350429286586689</v>
      </c>
      <c r="E57" s="34">
        <f t="shared" si="2"/>
        <v>0.93766027456175016</v>
      </c>
      <c r="F57" s="35">
        <f t="shared" si="6"/>
        <v>6.6495707134133109E-2</v>
      </c>
      <c r="G57" s="36">
        <f t="shared" si="3"/>
        <v>1</v>
      </c>
      <c r="H57" s="1" t="b">
        <f t="shared" si="5"/>
        <v>1</v>
      </c>
    </row>
    <row r="58" spans="1:17" x14ac:dyDescent="0.25">
      <c r="A58" s="1">
        <v>53</v>
      </c>
      <c r="B58" s="23">
        <v>1</v>
      </c>
      <c r="C58" s="1"/>
      <c r="D58" s="33">
        <f t="shared" si="7"/>
        <v>0.93766027456175016</v>
      </c>
      <c r="E58" s="34">
        <f t="shared" si="2"/>
        <v>0.94155650740164076</v>
      </c>
      <c r="F58" s="35">
        <f t="shared" si="6"/>
        <v>6.2339725438249838E-2</v>
      </c>
      <c r="G58" s="36">
        <f t="shared" si="3"/>
        <v>1</v>
      </c>
      <c r="H58" s="1" t="b">
        <f t="shared" si="5"/>
        <v>1</v>
      </c>
    </row>
    <row r="59" spans="1:17" x14ac:dyDescent="0.25">
      <c r="A59" s="1">
        <v>54</v>
      </c>
      <c r="B59" s="23">
        <v>1</v>
      </c>
      <c r="C59" s="1"/>
      <c r="D59" s="33">
        <f t="shared" si="7"/>
        <v>0.94155650740164076</v>
      </c>
      <c r="E59" s="34">
        <f t="shared" si="2"/>
        <v>0.9452092256890382</v>
      </c>
      <c r="F59" s="35">
        <f t="shared" si="6"/>
        <v>5.8443492598359237E-2</v>
      </c>
      <c r="G59" s="36">
        <f t="shared" si="3"/>
        <v>1</v>
      </c>
      <c r="H59" s="1" t="b">
        <f t="shared" si="5"/>
        <v>1</v>
      </c>
    </row>
    <row r="60" spans="1:17" x14ac:dyDescent="0.25">
      <c r="A60" s="1">
        <v>55</v>
      </c>
      <c r="B60" s="23">
        <v>1</v>
      </c>
      <c r="C60" s="1"/>
      <c r="D60" s="33">
        <f t="shared" si="7"/>
        <v>0.9452092256890382</v>
      </c>
      <c r="E60" s="34">
        <f t="shared" si="2"/>
        <v>0.94863364908347336</v>
      </c>
      <c r="F60" s="35">
        <f t="shared" si="6"/>
        <v>5.4790774310961798E-2</v>
      </c>
      <c r="G60" s="36">
        <f t="shared" si="3"/>
        <v>1</v>
      </c>
      <c r="H60" s="1" t="b">
        <f t="shared" si="5"/>
        <v>1</v>
      </c>
    </row>
    <row r="61" spans="1:17" x14ac:dyDescent="0.25">
      <c r="A61" s="1">
        <v>56</v>
      </c>
      <c r="B61" s="23">
        <v>1</v>
      </c>
      <c r="C61" s="1"/>
      <c r="D61" s="33">
        <f t="shared" si="7"/>
        <v>0.94863364908347336</v>
      </c>
      <c r="E61" s="34">
        <f t="shared" si="2"/>
        <v>0.95184404601575623</v>
      </c>
      <c r="F61" s="35">
        <f t="shared" si="6"/>
        <v>5.1366350916526637E-2</v>
      </c>
      <c r="G61" s="36">
        <f t="shared" si="3"/>
        <v>1</v>
      </c>
      <c r="H61" s="1" t="b">
        <f t="shared" si="5"/>
        <v>1</v>
      </c>
    </row>
    <row r="62" spans="1:17" x14ac:dyDescent="0.25">
      <c r="A62" s="1">
        <v>57</v>
      </c>
      <c r="B62" s="23">
        <v>1</v>
      </c>
      <c r="C62" s="1"/>
      <c r="D62" s="33">
        <f t="shared" si="7"/>
        <v>0.95184404601575623</v>
      </c>
      <c r="E62" s="34">
        <f t="shared" si="2"/>
        <v>0.95485379313977148</v>
      </c>
      <c r="F62" s="35">
        <f t="shared" si="6"/>
        <v>4.8155953984243771E-2</v>
      </c>
      <c r="G62" s="36">
        <f t="shared" si="3"/>
        <v>1</v>
      </c>
      <c r="H62" s="1" t="b">
        <f t="shared" si="5"/>
        <v>1</v>
      </c>
    </row>
    <row r="63" spans="1:17" x14ac:dyDescent="0.25">
      <c r="A63" s="1">
        <v>58</v>
      </c>
      <c r="B63" s="23">
        <v>1</v>
      </c>
      <c r="C63" s="1"/>
      <c r="D63" s="33">
        <f t="shared" si="7"/>
        <v>0.95485379313977148</v>
      </c>
      <c r="E63" s="34">
        <f t="shared" si="2"/>
        <v>0.95767543106853581</v>
      </c>
      <c r="F63" s="35">
        <f t="shared" si="6"/>
        <v>4.5146206860228522E-2</v>
      </c>
      <c r="G63" s="36">
        <f t="shared" si="3"/>
        <v>1</v>
      </c>
      <c r="H63" s="1" t="b">
        <f t="shared" si="5"/>
        <v>1</v>
      </c>
    </row>
    <row r="64" spans="1:17" x14ac:dyDescent="0.25">
      <c r="A64" s="1">
        <v>59</v>
      </c>
      <c r="B64" s="23">
        <v>1</v>
      </c>
      <c r="C64" s="1"/>
      <c r="D64" s="33">
        <f t="shared" si="7"/>
        <v>0.95767543106853581</v>
      </c>
      <c r="E64" s="34">
        <f t="shared" si="2"/>
        <v>0.96032071662675234</v>
      </c>
      <c r="F64" s="35">
        <f t="shared" si="6"/>
        <v>4.232456893146419E-2</v>
      </c>
      <c r="G64" s="36">
        <f t="shared" si="3"/>
        <v>1</v>
      </c>
      <c r="H64" s="1" t="b">
        <f t="shared" si="5"/>
        <v>1</v>
      </c>
    </row>
    <row r="65" spans="1:8" x14ac:dyDescent="0.25">
      <c r="A65" s="1">
        <v>60</v>
      </c>
      <c r="B65" s="23">
        <v>1</v>
      </c>
      <c r="C65" s="1"/>
      <c r="D65" s="33">
        <f t="shared" si="7"/>
        <v>0.96032071662675234</v>
      </c>
      <c r="E65" s="34">
        <f t="shared" si="2"/>
        <v>0.96280067183758034</v>
      </c>
      <c r="F65" s="35">
        <f t="shared" si="6"/>
        <v>3.9679283373247665E-2</v>
      </c>
      <c r="G65" s="36">
        <f t="shared" si="3"/>
        <v>1</v>
      </c>
      <c r="H65" s="1" t="b">
        <f t="shared" si="5"/>
        <v>1</v>
      </c>
    </row>
    <row r="66" spans="1:8" x14ac:dyDescent="0.25">
      <c r="A66" s="1">
        <v>61</v>
      </c>
      <c r="B66" s="23">
        <v>1</v>
      </c>
      <c r="C66" s="1"/>
      <c r="D66" s="33">
        <f t="shared" si="7"/>
        <v>0.96280067183758034</v>
      </c>
      <c r="E66" s="34">
        <f t="shared" si="2"/>
        <v>0.96512562984773154</v>
      </c>
      <c r="F66" s="35">
        <f t="shared" si="6"/>
        <v>3.7199328162419665E-2</v>
      </c>
      <c r="G66" s="36">
        <f t="shared" si="3"/>
        <v>1</v>
      </c>
      <c r="H66" s="1" t="b">
        <f t="shared" si="5"/>
        <v>1</v>
      </c>
    </row>
    <row r="67" spans="1:8" x14ac:dyDescent="0.25">
      <c r="A67" s="1">
        <v>62</v>
      </c>
      <c r="B67" s="23">
        <v>1</v>
      </c>
      <c r="C67" s="1"/>
      <c r="D67" s="33">
        <f t="shared" si="7"/>
        <v>0.96512562984773154</v>
      </c>
      <c r="E67" s="34">
        <f t="shared" si="2"/>
        <v>0.9673052779822483</v>
      </c>
      <c r="F67" s="35">
        <f t="shared" si="6"/>
        <v>3.4874370152268463E-2</v>
      </c>
      <c r="G67" s="36">
        <f t="shared" si="3"/>
        <v>1</v>
      </c>
      <c r="H67" s="1" t="b">
        <f t="shared" si="5"/>
        <v>1</v>
      </c>
    </row>
    <row r="68" spans="1:8" x14ac:dyDescent="0.25">
      <c r="A68" s="1">
        <v>63</v>
      </c>
      <c r="B68" s="23">
        <v>1</v>
      </c>
      <c r="C68" s="1"/>
      <c r="D68" s="33">
        <f t="shared" si="7"/>
        <v>0.9673052779822483</v>
      </c>
      <c r="E68" s="34">
        <f t="shared" si="2"/>
        <v>0.96934869810835778</v>
      </c>
      <c r="F68" s="35">
        <f t="shared" si="6"/>
        <v>3.2694722017751698E-2</v>
      </c>
      <c r="G68" s="36">
        <f t="shared" si="3"/>
        <v>1</v>
      </c>
      <c r="H68" s="1" t="b">
        <f t="shared" si="5"/>
        <v>1</v>
      </c>
    </row>
    <row r="69" spans="1:8" x14ac:dyDescent="0.25">
      <c r="A69" s="1">
        <v>64</v>
      </c>
      <c r="B69" s="23">
        <v>1</v>
      </c>
      <c r="C69" s="1"/>
      <c r="D69" s="33">
        <f t="shared" si="7"/>
        <v>0.96934869810835778</v>
      </c>
      <c r="E69" s="34">
        <f t="shared" si="2"/>
        <v>0.97126440447658546</v>
      </c>
      <c r="F69" s="35">
        <f t="shared" ref="F69:F100" si="8">B69-D69</f>
        <v>3.0651301891642224E-2</v>
      </c>
      <c r="G69" s="36">
        <f t="shared" si="3"/>
        <v>1</v>
      </c>
      <c r="H69" s="1" t="b">
        <f t="shared" si="5"/>
        <v>1</v>
      </c>
    </row>
    <row r="70" spans="1:8" x14ac:dyDescent="0.25">
      <c r="A70" s="1">
        <v>65</v>
      </c>
      <c r="B70" s="23">
        <v>1</v>
      </c>
      <c r="C70" s="1"/>
      <c r="D70" s="33">
        <f t="shared" ref="D70:D101" si="9">E69</f>
        <v>0.97126440447658546</v>
      </c>
      <c r="E70" s="34">
        <f t="shared" ref="E70:E127" si="10">$C$5*(B70-D70)+D70</f>
        <v>0.97306037919679889</v>
      </c>
      <c r="F70" s="35">
        <f t="shared" si="8"/>
        <v>2.8735595523414537E-2</v>
      </c>
      <c r="G70" s="36">
        <f t="shared" ref="G70:G127" si="11">$C$8*B70-$C$11*D70</f>
        <v>1</v>
      </c>
      <c r="H70" s="1" t="b">
        <f t="shared" si="5"/>
        <v>1</v>
      </c>
    </row>
    <row r="71" spans="1:8" x14ac:dyDescent="0.25">
      <c r="A71" s="1">
        <v>66</v>
      </c>
      <c r="B71" s="23">
        <v>1</v>
      </c>
      <c r="C71" s="1"/>
      <c r="D71" s="33">
        <f t="shared" si="9"/>
        <v>0.97306037919679889</v>
      </c>
      <c r="E71" s="34">
        <f t="shared" si="10"/>
        <v>0.97474410549699897</v>
      </c>
      <c r="F71" s="35">
        <f t="shared" si="8"/>
        <v>2.6939620803201114E-2</v>
      </c>
      <c r="G71" s="36">
        <f t="shared" si="11"/>
        <v>1</v>
      </c>
      <c r="H71" s="1" t="b">
        <f t="shared" si="5"/>
        <v>1</v>
      </c>
    </row>
    <row r="72" spans="1:8" x14ac:dyDescent="0.25">
      <c r="A72" s="1">
        <v>67</v>
      </c>
      <c r="B72" s="23">
        <v>1</v>
      </c>
      <c r="C72" s="1"/>
      <c r="D72" s="33">
        <f t="shared" si="9"/>
        <v>0.97474410549699897</v>
      </c>
      <c r="E72" s="34">
        <f t="shared" si="10"/>
        <v>0.97632259890343653</v>
      </c>
      <c r="F72" s="35">
        <f t="shared" si="8"/>
        <v>2.5255894503001031E-2</v>
      </c>
      <c r="G72" s="36">
        <f t="shared" si="11"/>
        <v>1</v>
      </c>
      <c r="H72" s="1" t="b">
        <f t="shared" si="5"/>
        <v>1</v>
      </c>
    </row>
    <row r="73" spans="1:8" x14ac:dyDescent="0.25">
      <c r="A73" s="1">
        <v>68</v>
      </c>
      <c r="B73" s="23">
        <v>1</v>
      </c>
      <c r="C73" s="1"/>
      <c r="D73" s="33">
        <f t="shared" si="9"/>
        <v>0.97632259890343653</v>
      </c>
      <c r="E73" s="34">
        <f t="shared" si="10"/>
        <v>0.97780243647197174</v>
      </c>
      <c r="F73" s="35">
        <f t="shared" si="8"/>
        <v>2.3677401096563466E-2</v>
      </c>
      <c r="G73" s="36">
        <f t="shared" si="11"/>
        <v>1</v>
      </c>
      <c r="H73" s="1" t="b">
        <f t="shared" si="5"/>
        <v>1</v>
      </c>
    </row>
    <row r="74" spans="1:8" x14ac:dyDescent="0.25">
      <c r="A74" s="1">
        <v>69</v>
      </c>
      <c r="B74" s="23">
        <v>1</v>
      </c>
      <c r="C74" s="1"/>
      <c r="D74" s="33">
        <f t="shared" si="9"/>
        <v>0.97780243647197174</v>
      </c>
      <c r="E74" s="34">
        <f t="shared" si="10"/>
        <v>0.97918978419247349</v>
      </c>
      <c r="F74" s="35">
        <f t="shared" si="8"/>
        <v>2.2197563528028263E-2</v>
      </c>
      <c r="G74" s="36">
        <f t="shared" si="11"/>
        <v>1</v>
      </c>
      <c r="H74" s="1" t="b">
        <f t="shared" si="5"/>
        <v>1</v>
      </c>
    </row>
    <row r="75" spans="1:8" x14ac:dyDescent="0.25">
      <c r="A75" s="1">
        <v>70</v>
      </c>
      <c r="B75" s="23">
        <v>1</v>
      </c>
      <c r="C75" s="1"/>
      <c r="D75" s="33">
        <f t="shared" si="9"/>
        <v>0.97918978419247349</v>
      </c>
      <c r="E75" s="34">
        <f t="shared" si="10"/>
        <v>0.98049042268044384</v>
      </c>
      <c r="F75" s="35">
        <f t="shared" si="8"/>
        <v>2.0810215807526511E-2</v>
      </c>
      <c r="G75" s="36">
        <f t="shared" si="11"/>
        <v>1</v>
      </c>
      <c r="H75" s="1" t="b">
        <f t="shared" si="5"/>
        <v>1</v>
      </c>
    </row>
    <row r="76" spans="1:8" x14ac:dyDescent="0.25">
      <c r="A76" s="1">
        <v>71</v>
      </c>
      <c r="B76" s="23">
        <v>-1</v>
      </c>
      <c r="C76" s="1"/>
      <c r="D76" s="33">
        <f t="shared" si="9"/>
        <v>0.98049042268044384</v>
      </c>
      <c r="E76" s="34">
        <f t="shared" si="10"/>
        <v>0.85670977126291614</v>
      </c>
      <c r="F76" s="35">
        <f t="shared" si="8"/>
        <v>-1.9804904226804438</v>
      </c>
      <c r="G76" s="36">
        <f t="shared" si="11"/>
        <v>-1</v>
      </c>
    </row>
    <row r="77" spans="1:8" x14ac:dyDescent="0.25">
      <c r="A77" s="1">
        <v>72</v>
      </c>
      <c r="B77" s="23">
        <v>-1</v>
      </c>
      <c r="C77" s="1"/>
      <c r="D77" s="33">
        <f t="shared" si="9"/>
        <v>0.85670977126291614</v>
      </c>
      <c r="E77" s="34">
        <f t="shared" si="10"/>
        <v>0.74066541055898383</v>
      </c>
      <c r="F77" s="35">
        <f t="shared" si="8"/>
        <v>-1.8567097712629161</v>
      </c>
      <c r="G77" s="36">
        <f t="shared" si="11"/>
        <v>-1</v>
      </c>
    </row>
    <row r="78" spans="1:8" x14ac:dyDescent="0.25">
      <c r="A78" s="1">
        <v>73</v>
      </c>
      <c r="B78" s="23">
        <v>-1</v>
      </c>
      <c r="C78" s="1"/>
      <c r="D78" s="33">
        <f t="shared" si="9"/>
        <v>0.74066541055898383</v>
      </c>
      <c r="E78" s="34">
        <f t="shared" si="10"/>
        <v>0.63187382239904732</v>
      </c>
      <c r="F78" s="35">
        <f t="shared" si="8"/>
        <v>-1.7406654105589838</v>
      </c>
      <c r="G78" s="36">
        <f t="shared" si="11"/>
        <v>-1</v>
      </c>
    </row>
    <row r="79" spans="1:8" x14ac:dyDescent="0.25">
      <c r="A79" s="1">
        <v>74</v>
      </c>
      <c r="B79" s="23">
        <v>-1</v>
      </c>
      <c r="C79" s="1"/>
      <c r="D79" s="33">
        <f t="shared" si="9"/>
        <v>0.63187382239904732</v>
      </c>
      <c r="E79" s="34">
        <f t="shared" si="10"/>
        <v>0.52988170849910687</v>
      </c>
      <c r="F79" s="35">
        <f t="shared" si="8"/>
        <v>-1.6318738223990472</v>
      </c>
      <c r="G79" s="36">
        <f t="shared" si="11"/>
        <v>-1</v>
      </c>
    </row>
    <row r="80" spans="1:8" x14ac:dyDescent="0.25">
      <c r="A80" s="1">
        <v>75</v>
      </c>
      <c r="B80" s="23">
        <v>-1</v>
      </c>
      <c r="C80" s="1"/>
      <c r="D80" s="33">
        <f t="shared" si="9"/>
        <v>0.52988170849910687</v>
      </c>
      <c r="E80" s="34">
        <f t="shared" si="10"/>
        <v>0.43426410171791269</v>
      </c>
      <c r="F80" s="35">
        <f t="shared" si="8"/>
        <v>-1.529881708499107</v>
      </c>
      <c r="G80" s="36">
        <f t="shared" si="11"/>
        <v>-1</v>
      </c>
    </row>
    <row r="81" spans="1:7" x14ac:dyDescent="0.25">
      <c r="A81" s="1">
        <v>76</v>
      </c>
      <c r="B81" s="23">
        <v>-1</v>
      </c>
      <c r="C81" s="1"/>
      <c r="D81" s="33">
        <f t="shared" si="9"/>
        <v>0.43426410171791269</v>
      </c>
      <c r="E81" s="34">
        <f t="shared" si="10"/>
        <v>0.34462259536054313</v>
      </c>
      <c r="F81" s="35">
        <f t="shared" si="8"/>
        <v>-1.4342641017179127</v>
      </c>
      <c r="G81" s="36">
        <f t="shared" si="11"/>
        <v>-1</v>
      </c>
    </row>
    <row r="82" spans="1:7" x14ac:dyDescent="0.25">
      <c r="A82" s="1">
        <v>77</v>
      </c>
      <c r="B82" s="23">
        <v>-1</v>
      </c>
      <c r="C82" s="1"/>
      <c r="D82" s="33">
        <f t="shared" si="9"/>
        <v>0.34462259536054313</v>
      </c>
      <c r="E82" s="34">
        <f t="shared" si="10"/>
        <v>0.26058368315050917</v>
      </c>
      <c r="F82" s="35">
        <f t="shared" si="8"/>
        <v>-1.3446225953605431</v>
      </c>
      <c r="G82" s="36">
        <f t="shared" si="11"/>
        <v>-1</v>
      </c>
    </row>
    <row r="83" spans="1:7" x14ac:dyDescent="0.25">
      <c r="A83" s="1">
        <v>78</v>
      </c>
      <c r="B83" s="23">
        <v>-1</v>
      </c>
      <c r="C83" s="1"/>
      <c r="D83" s="33">
        <f t="shared" si="9"/>
        <v>0.26058368315050917</v>
      </c>
      <c r="E83" s="34">
        <f t="shared" si="10"/>
        <v>0.18179720295360235</v>
      </c>
      <c r="F83" s="35">
        <f t="shared" si="8"/>
        <v>-1.2605836831505091</v>
      </c>
      <c r="G83" s="36">
        <f t="shared" si="11"/>
        <v>-1</v>
      </c>
    </row>
    <row r="84" spans="1:7" x14ac:dyDescent="0.25">
      <c r="A84" s="1">
        <v>79</v>
      </c>
      <c r="B84" s="23">
        <v>-1</v>
      </c>
      <c r="C84" s="1"/>
      <c r="D84" s="33">
        <f t="shared" si="9"/>
        <v>0.18179720295360235</v>
      </c>
      <c r="E84" s="34">
        <f t="shared" si="10"/>
        <v>0.10793487776900221</v>
      </c>
      <c r="F84" s="35">
        <f t="shared" si="8"/>
        <v>-1.1817972029536024</v>
      </c>
      <c r="G84" s="36">
        <f t="shared" si="11"/>
        <v>-1</v>
      </c>
    </row>
    <row r="85" spans="1:7" x14ac:dyDescent="0.25">
      <c r="A85" s="1">
        <v>80</v>
      </c>
      <c r="B85" s="23">
        <v>-1</v>
      </c>
      <c r="C85" s="1"/>
      <c r="D85" s="33">
        <f t="shared" si="9"/>
        <v>0.10793487776900221</v>
      </c>
      <c r="E85" s="34">
        <f t="shared" si="10"/>
        <v>3.8688947908439575E-2</v>
      </c>
      <c r="F85" s="35">
        <f t="shared" si="8"/>
        <v>-1.1079348777690021</v>
      </c>
      <c r="G85" s="36">
        <f t="shared" si="11"/>
        <v>-1</v>
      </c>
    </row>
    <row r="86" spans="1:7" x14ac:dyDescent="0.25">
      <c r="A86" s="1">
        <v>81</v>
      </c>
      <c r="B86" s="23">
        <v>-1</v>
      </c>
      <c r="C86" s="1"/>
      <c r="D86" s="33">
        <f t="shared" si="9"/>
        <v>3.8688947908439575E-2</v>
      </c>
      <c r="E86" s="34">
        <f t="shared" si="10"/>
        <v>-2.6229111335837899E-2</v>
      </c>
      <c r="F86" s="35">
        <f t="shared" si="8"/>
        <v>-1.0386889479084396</v>
      </c>
      <c r="G86" s="36">
        <f t="shared" si="11"/>
        <v>-1</v>
      </c>
    </row>
    <row r="87" spans="1:7" x14ac:dyDescent="0.25">
      <c r="A87" s="1">
        <v>82</v>
      </c>
      <c r="B87" s="23">
        <v>-1</v>
      </c>
      <c r="C87" s="1"/>
      <c r="D87" s="33">
        <f t="shared" si="9"/>
        <v>-2.6229111335837899E-2</v>
      </c>
      <c r="E87" s="34">
        <f t="shared" si="10"/>
        <v>-8.7089791877348027E-2</v>
      </c>
      <c r="F87" s="35">
        <f t="shared" si="8"/>
        <v>-0.97377088866416206</v>
      </c>
      <c r="G87" s="36">
        <f t="shared" si="11"/>
        <v>-1</v>
      </c>
    </row>
    <row r="88" spans="1:7" x14ac:dyDescent="0.25">
      <c r="A88" s="1">
        <v>83</v>
      </c>
      <c r="B88" s="23">
        <v>-1</v>
      </c>
      <c r="C88" s="1"/>
      <c r="D88" s="33">
        <f t="shared" si="9"/>
        <v>-8.7089791877348027E-2</v>
      </c>
      <c r="E88" s="34">
        <f t="shared" si="10"/>
        <v>-0.14414667988501378</v>
      </c>
      <c r="F88" s="35">
        <f t="shared" si="8"/>
        <v>-0.912910208122652</v>
      </c>
      <c r="G88" s="36">
        <f t="shared" si="11"/>
        <v>-1</v>
      </c>
    </row>
    <row r="89" spans="1:7" x14ac:dyDescent="0.25">
      <c r="A89" s="1">
        <v>84</v>
      </c>
      <c r="B89" s="23">
        <v>-1</v>
      </c>
      <c r="C89" s="1"/>
      <c r="D89" s="33">
        <f t="shared" si="9"/>
        <v>-0.14414667988501378</v>
      </c>
      <c r="E89" s="34">
        <f t="shared" si="10"/>
        <v>-0.19763751239220043</v>
      </c>
      <c r="F89" s="35">
        <f t="shared" si="8"/>
        <v>-0.85585332011498627</v>
      </c>
      <c r="G89" s="36">
        <f t="shared" si="11"/>
        <v>-1</v>
      </c>
    </row>
    <row r="90" spans="1:7" x14ac:dyDescent="0.25">
      <c r="A90" s="1">
        <v>85</v>
      </c>
      <c r="B90" s="23">
        <v>-1</v>
      </c>
      <c r="C90" s="1"/>
      <c r="D90" s="33">
        <f t="shared" si="9"/>
        <v>-0.19763751239220043</v>
      </c>
      <c r="E90" s="34">
        <f t="shared" si="10"/>
        <v>-0.24778516786768789</v>
      </c>
      <c r="F90" s="35">
        <f t="shared" si="8"/>
        <v>-0.8023624876077996</v>
      </c>
      <c r="G90" s="36">
        <f t="shared" si="11"/>
        <v>-1</v>
      </c>
    </row>
    <row r="91" spans="1:7" x14ac:dyDescent="0.25">
      <c r="A91" s="1">
        <v>86</v>
      </c>
      <c r="B91" s="23">
        <v>-1</v>
      </c>
      <c r="C91" s="1"/>
      <c r="D91" s="33">
        <f t="shared" si="9"/>
        <v>-0.24778516786768789</v>
      </c>
      <c r="E91" s="34">
        <f t="shared" si="10"/>
        <v>-0.29479859487595739</v>
      </c>
      <c r="F91" s="35">
        <f t="shared" si="8"/>
        <v>-0.75221483213231211</v>
      </c>
      <c r="G91" s="36">
        <f t="shared" si="11"/>
        <v>-1</v>
      </c>
    </row>
    <row r="92" spans="1:7" x14ac:dyDescent="0.25">
      <c r="A92" s="1">
        <v>87</v>
      </c>
      <c r="B92" s="23">
        <v>-1</v>
      </c>
      <c r="C92" s="1"/>
      <c r="D92" s="33">
        <f t="shared" si="9"/>
        <v>-0.29479859487595739</v>
      </c>
      <c r="E92" s="34">
        <f t="shared" si="10"/>
        <v>-0.33887368269621004</v>
      </c>
      <c r="F92" s="35">
        <f t="shared" si="8"/>
        <v>-0.70520140512404261</v>
      </c>
      <c r="G92" s="36">
        <f t="shared" si="11"/>
        <v>-1</v>
      </c>
    </row>
    <row r="93" spans="1:7" x14ac:dyDescent="0.25">
      <c r="A93" s="1">
        <v>88</v>
      </c>
      <c r="B93" s="23">
        <v>-1</v>
      </c>
      <c r="C93" s="1"/>
      <c r="D93" s="33">
        <f t="shared" si="9"/>
        <v>-0.33887368269621004</v>
      </c>
      <c r="E93" s="34">
        <f t="shared" si="10"/>
        <v>-0.38019407752769691</v>
      </c>
      <c r="F93" s="35">
        <f t="shared" si="8"/>
        <v>-0.66112631730379001</v>
      </c>
      <c r="G93" s="36">
        <f t="shared" si="11"/>
        <v>-1</v>
      </c>
    </row>
    <row r="94" spans="1:7" x14ac:dyDescent="0.25">
      <c r="A94" s="1">
        <v>89</v>
      </c>
      <c r="B94" s="23">
        <v>-1</v>
      </c>
      <c r="C94" s="1"/>
      <c r="D94" s="33">
        <f t="shared" si="9"/>
        <v>-0.38019407752769691</v>
      </c>
      <c r="E94" s="34">
        <f t="shared" si="10"/>
        <v>-0.41893194768221587</v>
      </c>
      <c r="F94" s="35">
        <f t="shared" si="8"/>
        <v>-0.61980592247230315</v>
      </c>
      <c r="G94" s="36">
        <f t="shared" si="11"/>
        <v>-1</v>
      </c>
    </row>
    <row r="95" spans="1:7" x14ac:dyDescent="0.25">
      <c r="A95" s="1">
        <v>90</v>
      </c>
      <c r="B95" s="23">
        <v>-1</v>
      </c>
      <c r="C95" s="1"/>
      <c r="D95" s="33">
        <f t="shared" si="9"/>
        <v>-0.41893194768221587</v>
      </c>
      <c r="E95" s="34">
        <f t="shared" si="10"/>
        <v>-0.45524870095207737</v>
      </c>
      <c r="F95" s="35">
        <f t="shared" si="8"/>
        <v>-0.58106805231778413</v>
      </c>
      <c r="G95" s="36">
        <f t="shared" si="11"/>
        <v>-1</v>
      </c>
    </row>
    <row r="96" spans="1:7" x14ac:dyDescent="0.25">
      <c r="A96" s="1">
        <v>91</v>
      </c>
      <c r="B96" s="23">
        <v>-1</v>
      </c>
      <c r="C96" s="1"/>
      <c r="D96" s="33">
        <f t="shared" si="9"/>
        <v>-0.45524870095207737</v>
      </c>
      <c r="E96" s="34">
        <f t="shared" si="10"/>
        <v>-0.4892956571425725</v>
      </c>
      <c r="F96" s="35">
        <f t="shared" si="8"/>
        <v>-0.54475129904792263</v>
      </c>
      <c r="G96" s="36">
        <f t="shared" si="11"/>
        <v>-1</v>
      </c>
    </row>
    <row r="97" spans="1:7" x14ac:dyDescent="0.25">
      <c r="A97" s="1">
        <v>92</v>
      </c>
      <c r="B97" s="23">
        <v>-1</v>
      </c>
      <c r="C97" s="1"/>
      <c r="D97" s="33">
        <f t="shared" si="9"/>
        <v>-0.4892956571425725</v>
      </c>
      <c r="E97" s="34">
        <f t="shared" si="10"/>
        <v>-0.52121467857116177</v>
      </c>
      <c r="F97" s="35">
        <f t="shared" si="8"/>
        <v>-0.5107043428574275</v>
      </c>
      <c r="G97" s="36">
        <f t="shared" si="11"/>
        <v>-1</v>
      </c>
    </row>
    <row r="98" spans="1:7" x14ac:dyDescent="0.25">
      <c r="A98" s="1">
        <v>93</v>
      </c>
      <c r="B98" s="23">
        <v>-1</v>
      </c>
      <c r="C98" s="1"/>
      <c r="D98" s="33">
        <f t="shared" si="9"/>
        <v>-0.52121467857116177</v>
      </c>
      <c r="E98" s="34">
        <f t="shared" si="10"/>
        <v>-0.55113876116046412</v>
      </c>
      <c r="F98" s="35">
        <f t="shared" si="8"/>
        <v>-0.47878532142883823</v>
      </c>
      <c r="G98" s="36">
        <f t="shared" si="11"/>
        <v>-1</v>
      </c>
    </row>
    <row r="99" spans="1:7" x14ac:dyDescent="0.25">
      <c r="A99" s="1">
        <v>94</v>
      </c>
      <c r="B99" s="23">
        <v>-1</v>
      </c>
      <c r="C99" s="1"/>
      <c r="D99" s="33">
        <f t="shared" si="9"/>
        <v>-0.55113876116046412</v>
      </c>
      <c r="E99" s="34">
        <f t="shared" si="10"/>
        <v>-0.5791925885879351</v>
      </c>
      <c r="F99" s="35">
        <f t="shared" si="8"/>
        <v>-0.44886123883953588</v>
      </c>
      <c r="G99" s="36">
        <f t="shared" si="11"/>
        <v>-1</v>
      </c>
    </row>
    <row r="100" spans="1:7" x14ac:dyDescent="0.25">
      <c r="A100" s="1">
        <v>95</v>
      </c>
      <c r="B100" s="23">
        <v>-1</v>
      </c>
      <c r="C100" s="1"/>
      <c r="D100" s="33">
        <f t="shared" si="9"/>
        <v>-0.5791925885879351</v>
      </c>
      <c r="E100" s="34">
        <f t="shared" si="10"/>
        <v>-0.60549305180118917</v>
      </c>
      <c r="F100" s="35">
        <f t="shared" si="8"/>
        <v>-0.4208074114120649</v>
      </c>
      <c r="G100" s="36">
        <f t="shared" si="11"/>
        <v>-1</v>
      </c>
    </row>
    <row r="101" spans="1:7" x14ac:dyDescent="0.25">
      <c r="A101" s="1">
        <v>96</v>
      </c>
      <c r="B101" s="23">
        <v>-1</v>
      </c>
      <c r="C101" s="1"/>
      <c r="D101" s="33">
        <f t="shared" si="9"/>
        <v>-0.60549305180118917</v>
      </c>
      <c r="E101" s="34">
        <f t="shared" si="10"/>
        <v>-0.6301497360636148</v>
      </c>
      <c r="F101" s="35">
        <f t="shared" ref="F101:F127" si="12">B101-D101</f>
        <v>-0.39450694819881083</v>
      </c>
      <c r="G101" s="36">
        <f t="shared" si="11"/>
        <v>-1</v>
      </c>
    </row>
    <row r="102" spans="1:7" x14ac:dyDescent="0.25">
      <c r="A102" s="1">
        <v>97</v>
      </c>
      <c r="B102" s="23">
        <v>-1</v>
      </c>
      <c r="C102" s="1"/>
      <c r="D102" s="33">
        <f t="shared" ref="D102:D127" si="13">E101</f>
        <v>-0.6301497360636148</v>
      </c>
      <c r="E102" s="34">
        <f t="shared" si="10"/>
        <v>-0.65326537755963887</v>
      </c>
      <c r="F102" s="35">
        <f t="shared" si="12"/>
        <v>-0.3698502639363852</v>
      </c>
      <c r="G102" s="36">
        <f t="shared" si="11"/>
        <v>-1</v>
      </c>
    </row>
    <row r="103" spans="1:7" x14ac:dyDescent="0.25">
      <c r="A103" s="1">
        <v>98</v>
      </c>
      <c r="B103" s="23">
        <v>-1</v>
      </c>
      <c r="C103" s="1"/>
      <c r="D103" s="33">
        <f t="shared" si="13"/>
        <v>-0.65326537755963887</v>
      </c>
      <c r="E103" s="34">
        <f t="shared" si="10"/>
        <v>-0.6749362914621615</v>
      </c>
      <c r="F103" s="35">
        <f t="shared" si="12"/>
        <v>-0.34673462244036113</v>
      </c>
      <c r="G103" s="36">
        <f t="shared" si="11"/>
        <v>-1</v>
      </c>
    </row>
    <row r="104" spans="1:7" x14ac:dyDescent="0.25">
      <c r="A104" s="1">
        <v>99</v>
      </c>
      <c r="B104" s="23">
        <v>-1</v>
      </c>
      <c r="C104" s="1"/>
      <c r="D104" s="33">
        <f t="shared" si="13"/>
        <v>-0.6749362914621615</v>
      </c>
      <c r="E104" s="34">
        <f t="shared" si="10"/>
        <v>-0.69525277324577639</v>
      </c>
      <c r="F104" s="35">
        <f t="shared" si="12"/>
        <v>-0.3250637085378385</v>
      </c>
      <c r="G104" s="36">
        <f t="shared" si="11"/>
        <v>-1</v>
      </c>
    </row>
    <row r="105" spans="1:7" x14ac:dyDescent="0.25">
      <c r="A105" s="1">
        <v>100</v>
      </c>
      <c r="B105" s="23">
        <v>-1</v>
      </c>
      <c r="C105" s="1"/>
      <c r="D105" s="33">
        <f t="shared" si="13"/>
        <v>-0.69525277324577639</v>
      </c>
      <c r="E105" s="34">
        <f t="shared" si="10"/>
        <v>-0.71429947491791534</v>
      </c>
      <c r="F105" s="35">
        <f t="shared" si="12"/>
        <v>-0.30474722675422361</v>
      </c>
      <c r="G105" s="36">
        <f t="shared" si="11"/>
        <v>-1</v>
      </c>
    </row>
    <row r="106" spans="1:7" x14ac:dyDescent="0.25">
      <c r="A106" s="1">
        <v>101</v>
      </c>
      <c r="B106" s="23">
        <v>-1</v>
      </c>
      <c r="C106" s="1"/>
      <c r="D106" s="33">
        <f t="shared" si="13"/>
        <v>-0.71429947491791534</v>
      </c>
      <c r="E106" s="34">
        <f t="shared" si="10"/>
        <v>-0.73215575773554564</v>
      </c>
      <c r="F106" s="35">
        <f t="shared" si="12"/>
        <v>-0.28570052508208466</v>
      </c>
      <c r="G106" s="36">
        <f t="shared" si="11"/>
        <v>-1</v>
      </c>
    </row>
    <row r="107" spans="1:7" x14ac:dyDescent="0.25">
      <c r="A107" s="1">
        <v>102</v>
      </c>
      <c r="B107" s="23">
        <v>-1</v>
      </c>
      <c r="C107" s="1"/>
      <c r="D107" s="33">
        <f t="shared" si="13"/>
        <v>-0.73215575773554564</v>
      </c>
      <c r="E107" s="34">
        <f t="shared" si="10"/>
        <v>-0.74889602287707402</v>
      </c>
      <c r="F107" s="35">
        <f t="shared" si="12"/>
        <v>-0.26784424226445436</v>
      </c>
      <c r="G107" s="36">
        <f t="shared" si="11"/>
        <v>-1</v>
      </c>
    </row>
    <row r="108" spans="1:7" x14ac:dyDescent="0.25">
      <c r="A108" s="1">
        <v>103</v>
      </c>
      <c r="B108" s="23">
        <v>-1</v>
      </c>
      <c r="C108" s="1"/>
      <c r="D108" s="33">
        <f t="shared" si="13"/>
        <v>-0.74889602287707402</v>
      </c>
      <c r="E108" s="34">
        <f t="shared" si="10"/>
        <v>-0.76459002144725685</v>
      </c>
      <c r="F108" s="35">
        <f t="shared" si="12"/>
        <v>-0.25110397712292598</v>
      </c>
      <c r="G108" s="36">
        <f t="shared" si="11"/>
        <v>-1</v>
      </c>
    </row>
    <row r="109" spans="1:7" x14ac:dyDescent="0.25">
      <c r="A109" s="1">
        <v>104</v>
      </c>
      <c r="B109" s="23">
        <v>-1</v>
      </c>
      <c r="C109" s="1"/>
      <c r="D109" s="33">
        <f t="shared" si="13"/>
        <v>-0.76459002144725685</v>
      </c>
      <c r="E109" s="34">
        <f t="shared" si="10"/>
        <v>-0.77930314510680332</v>
      </c>
      <c r="F109" s="35">
        <f t="shared" si="12"/>
        <v>-0.23540997855274315</v>
      </c>
      <c r="G109" s="36">
        <f t="shared" si="11"/>
        <v>-1</v>
      </c>
    </row>
    <row r="110" spans="1:7" x14ac:dyDescent="0.25">
      <c r="A110" s="1">
        <v>105</v>
      </c>
      <c r="B110" s="23">
        <v>1</v>
      </c>
      <c r="C110" s="1"/>
      <c r="D110" s="33">
        <f t="shared" si="13"/>
        <v>-0.77930314510680332</v>
      </c>
      <c r="E110" s="34">
        <f t="shared" si="10"/>
        <v>-0.6680966985376281</v>
      </c>
      <c r="F110" s="35">
        <f t="shared" si="12"/>
        <v>1.7793031451068033</v>
      </c>
      <c r="G110" s="36">
        <f t="shared" si="11"/>
        <v>1</v>
      </c>
    </row>
    <row r="111" spans="1:7" x14ac:dyDescent="0.25">
      <c r="A111" s="1">
        <v>106</v>
      </c>
      <c r="B111" s="23">
        <v>1</v>
      </c>
      <c r="C111" s="1"/>
      <c r="D111" s="33">
        <f t="shared" si="13"/>
        <v>-0.6680966985376281</v>
      </c>
      <c r="E111" s="34">
        <f t="shared" si="10"/>
        <v>-0.56384065487902635</v>
      </c>
      <c r="F111" s="35">
        <f t="shared" si="12"/>
        <v>1.668096698537628</v>
      </c>
      <c r="G111" s="36">
        <f t="shared" si="11"/>
        <v>1</v>
      </c>
    </row>
    <row r="112" spans="1:7" x14ac:dyDescent="0.25">
      <c r="A112" s="1">
        <v>107</v>
      </c>
      <c r="B112" s="23">
        <v>1</v>
      </c>
      <c r="C112" s="1"/>
      <c r="D112" s="33">
        <f t="shared" si="13"/>
        <v>-0.56384065487902635</v>
      </c>
      <c r="E112" s="34">
        <f t="shared" si="10"/>
        <v>-0.46610061394908719</v>
      </c>
      <c r="F112" s="35">
        <f t="shared" si="12"/>
        <v>1.5638406548790265</v>
      </c>
      <c r="G112" s="36">
        <f t="shared" si="11"/>
        <v>1</v>
      </c>
    </row>
    <row r="113" spans="1:7" x14ac:dyDescent="0.25">
      <c r="A113" s="1">
        <v>108</v>
      </c>
      <c r="B113" s="23">
        <v>1</v>
      </c>
      <c r="C113" s="1"/>
      <c r="D113" s="33">
        <f t="shared" si="13"/>
        <v>-0.46610061394908719</v>
      </c>
      <c r="E113" s="34">
        <f t="shared" si="10"/>
        <v>-0.37446932557726925</v>
      </c>
      <c r="F113" s="35">
        <f t="shared" si="12"/>
        <v>1.4661006139490871</v>
      </c>
      <c r="G113" s="36">
        <f t="shared" si="11"/>
        <v>1</v>
      </c>
    </row>
    <row r="114" spans="1:7" x14ac:dyDescent="0.25">
      <c r="A114" s="1">
        <v>109</v>
      </c>
      <c r="B114" s="23">
        <v>1</v>
      </c>
      <c r="C114" s="1"/>
      <c r="D114" s="33">
        <f t="shared" si="13"/>
        <v>-0.37446932557726925</v>
      </c>
      <c r="E114" s="34">
        <f t="shared" si="10"/>
        <v>-0.28856499272868991</v>
      </c>
      <c r="F114" s="35">
        <f t="shared" si="12"/>
        <v>1.3744693255772693</v>
      </c>
      <c r="G114" s="36">
        <f t="shared" si="11"/>
        <v>1</v>
      </c>
    </row>
    <row r="115" spans="1:7" x14ac:dyDescent="0.25">
      <c r="A115" s="1">
        <v>110</v>
      </c>
      <c r="B115" s="23">
        <v>1</v>
      </c>
      <c r="C115" s="1"/>
      <c r="D115" s="33">
        <f t="shared" si="13"/>
        <v>-0.28856499272868991</v>
      </c>
      <c r="E115" s="34">
        <f t="shared" si="10"/>
        <v>-0.20802968068314678</v>
      </c>
      <c r="F115" s="35">
        <f t="shared" si="12"/>
        <v>1.28856499272869</v>
      </c>
      <c r="G115" s="36">
        <f t="shared" si="11"/>
        <v>1</v>
      </c>
    </row>
    <row r="116" spans="1:7" x14ac:dyDescent="0.25">
      <c r="A116" s="1">
        <v>111</v>
      </c>
      <c r="B116" s="23">
        <v>1</v>
      </c>
      <c r="C116" s="1"/>
      <c r="D116" s="33">
        <f t="shared" si="13"/>
        <v>-0.20802968068314678</v>
      </c>
      <c r="E116" s="34">
        <f t="shared" si="10"/>
        <v>-0.13252782564045013</v>
      </c>
      <c r="F116" s="35">
        <f t="shared" si="12"/>
        <v>1.2080296806831468</v>
      </c>
      <c r="G116" s="36">
        <f t="shared" si="11"/>
        <v>1</v>
      </c>
    </row>
    <row r="117" spans="1:7" x14ac:dyDescent="0.25">
      <c r="A117" s="1">
        <v>112</v>
      </c>
      <c r="B117" s="23">
        <v>1</v>
      </c>
      <c r="C117" s="1"/>
      <c r="D117" s="33">
        <f t="shared" si="13"/>
        <v>-0.13252782564045013</v>
      </c>
      <c r="E117" s="34">
        <f t="shared" si="10"/>
        <v>-6.1744836537921996E-2</v>
      </c>
      <c r="F117" s="35">
        <f t="shared" si="12"/>
        <v>1.1325278256404501</v>
      </c>
      <c r="G117" s="36">
        <f t="shared" si="11"/>
        <v>1</v>
      </c>
    </row>
    <row r="118" spans="1:7" x14ac:dyDescent="0.25">
      <c r="A118" s="1">
        <v>113</v>
      </c>
      <c r="B118" s="23">
        <v>1</v>
      </c>
      <c r="C118" s="1"/>
      <c r="D118" s="33">
        <f t="shared" si="13"/>
        <v>-6.1744836537921996E-2</v>
      </c>
      <c r="E118" s="34">
        <f t="shared" si="10"/>
        <v>4.6142157456981331E-3</v>
      </c>
      <c r="F118" s="35">
        <f t="shared" si="12"/>
        <v>1.0617448365379221</v>
      </c>
      <c r="G118" s="36">
        <f t="shared" si="11"/>
        <v>1</v>
      </c>
    </row>
    <row r="119" spans="1:7" x14ac:dyDescent="0.25">
      <c r="A119" s="1">
        <v>114</v>
      </c>
      <c r="B119" s="23">
        <v>1</v>
      </c>
      <c r="C119" s="1"/>
      <c r="D119" s="33">
        <f t="shared" si="13"/>
        <v>4.6142157456981331E-3</v>
      </c>
      <c r="E119" s="34">
        <f t="shared" si="10"/>
        <v>6.6825827261592002E-2</v>
      </c>
      <c r="F119" s="35">
        <f t="shared" si="12"/>
        <v>0.99538578425430191</v>
      </c>
      <c r="G119" s="36">
        <f t="shared" si="11"/>
        <v>1</v>
      </c>
    </row>
    <row r="120" spans="1:7" x14ac:dyDescent="0.25">
      <c r="A120" s="1">
        <v>115</v>
      </c>
      <c r="B120" s="23">
        <v>1</v>
      </c>
      <c r="C120" s="1"/>
      <c r="D120" s="33">
        <f t="shared" si="13"/>
        <v>6.6825827261592002E-2</v>
      </c>
      <c r="E120" s="34">
        <f t="shared" si="10"/>
        <v>0.12514921305774251</v>
      </c>
      <c r="F120" s="35">
        <f t="shared" si="12"/>
        <v>0.93317417273840797</v>
      </c>
      <c r="G120" s="36">
        <f t="shared" si="11"/>
        <v>1</v>
      </c>
    </row>
    <row r="121" spans="1:7" x14ac:dyDescent="0.25">
      <c r="A121" s="1">
        <v>116</v>
      </c>
      <c r="B121" s="23">
        <v>1</v>
      </c>
      <c r="C121" s="1"/>
      <c r="D121" s="33">
        <f t="shared" si="13"/>
        <v>0.12514921305774251</v>
      </c>
      <c r="E121" s="34">
        <f t="shared" si="10"/>
        <v>0.17982738724163361</v>
      </c>
      <c r="F121" s="35">
        <f t="shared" si="12"/>
        <v>0.87485078694225749</v>
      </c>
      <c r="G121" s="36">
        <f t="shared" si="11"/>
        <v>1</v>
      </c>
    </row>
    <row r="122" spans="1:7" x14ac:dyDescent="0.25">
      <c r="A122" s="1">
        <v>117</v>
      </c>
      <c r="B122" s="23">
        <v>1</v>
      </c>
      <c r="C122" s="1"/>
      <c r="D122" s="33">
        <f t="shared" si="13"/>
        <v>0.17982738724163361</v>
      </c>
      <c r="E122" s="34">
        <f t="shared" si="10"/>
        <v>0.23108817553903149</v>
      </c>
      <c r="F122" s="35">
        <f t="shared" si="12"/>
        <v>0.82017261275836639</v>
      </c>
      <c r="G122" s="36">
        <f t="shared" si="11"/>
        <v>1</v>
      </c>
    </row>
    <row r="123" spans="1:7" x14ac:dyDescent="0.25">
      <c r="A123" s="1">
        <v>118</v>
      </c>
      <c r="B123" s="23">
        <v>1</v>
      </c>
      <c r="C123" s="1"/>
      <c r="D123" s="33">
        <f t="shared" si="13"/>
        <v>0.23108817553903149</v>
      </c>
      <c r="E123" s="34">
        <f t="shared" si="10"/>
        <v>0.279145164567842</v>
      </c>
      <c r="F123" s="35">
        <f t="shared" si="12"/>
        <v>0.76891182446096851</v>
      </c>
      <c r="G123" s="36">
        <f t="shared" si="11"/>
        <v>1</v>
      </c>
    </row>
    <row r="124" spans="1:7" x14ac:dyDescent="0.25">
      <c r="A124" s="1">
        <v>119</v>
      </c>
      <c r="B124" s="23">
        <v>1</v>
      </c>
      <c r="C124" s="1"/>
      <c r="D124" s="33">
        <f t="shared" si="13"/>
        <v>0.279145164567842</v>
      </c>
      <c r="E124" s="34">
        <f t="shared" si="10"/>
        <v>0.32419859178235189</v>
      </c>
      <c r="F124" s="35">
        <f t="shared" si="12"/>
        <v>0.720854835432158</v>
      </c>
      <c r="G124" s="36">
        <f t="shared" si="11"/>
        <v>1</v>
      </c>
    </row>
    <row r="125" spans="1:7" x14ac:dyDescent="0.25">
      <c r="A125" s="1">
        <v>120</v>
      </c>
      <c r="B125" s="23">
        <v>1</v>
      </c>
      <c r="C125" s="1"/>
      <c r="D125" s="33">
        <f t="shared" si="13"/>
        <v>0.32419859178235189</v>
      </c>
      <c r="E125" s="34">
        <f t="shared" si="10"/>
        <v>0.36643617979595489</v>
      </c>
      <c r="F125" s="35">
        <f t="shared" si="12"/>
        <v>0.67580140821764811</v>
      </c>
      <c r="G125" s="36">
        <f t="shared" si="11"/>
        <v>1</v>
      </c>
    </row>
    <row r="126" spans="1:7" x14ac:dyDescent="0.25">
      <c r="A126" s="1">
        <v>121</v>
      </c>
      <c r="B126" s="23">
        <v>1</v>
      </c>
      <c r="C126" s="1"/>
      <c r="D126" s="33">
        <f t="shared" si="13"/>
        <v>0.36643617979595489</v>
      </c>
      <c r="E126" s="34">
        <f t="shared" si="10"/>
        <v>0.40603391855870768</v>
      </c>
      <c r="F126" s="35">
        <f t="shared" si="12"/>
        <v>0.63356382020404511</v>
      </c>
      <c r="G126" s="36">
        <f t="shared" si="11"/>
        <v>1</v>
      </c>
    </row>
    <row r="127" spans="1:7" x14ac:dyDescent="0.25">
      <c r="A127" s="1">
        <v>122</v>
      </c>
      <c r="B127" s="23">
        <v>1</v>
      </c>
      <c r="C127" s="1"/>
      <c r="D127" s="33">
        <f t="shared" si="13"/>
        <v>0.40603391855870768</v>
      </c>
      <c r="E127" s="34">
        <f t="shared" si="10"/>
        <v>0.44315679864878843</v>
      </c>
      <c r="F127" s="35">
        <f t="shared" si="12"/>
        <v>0.59396608144129237</v>
      </c>
      <c r="G127" s="36">
        <f t="shared" si="11"/>
        <v>1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78F5B4-E090-46FE-8454-52FAF78DB8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Berechnung</vt:lpstr>
      <vt:lpstr>Biquad-DCO</vt:lpstr>
      <vt:lpstr>Allpass-Sim</vt:lpstr>
      <vt:lpstr>Lowpass-Sim</vt:lpstr>
      <vt:lpstr>'Biquad-DCO'!isim_results_1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</dc:creator>
  <cp:lastModifiedBy>Carsten</cp:lastModifiedBy>
  <dcterms:created xsi:type="dcterms:W3CDTF">2022-11-16T19:58:39Z</dcterms:created>
  <dcterms:modified xsi:type="dcterms:W3CDTF">2026-03-22T09:05:39Z</dcterms:modified>
</cp:coreProperties>
</file>