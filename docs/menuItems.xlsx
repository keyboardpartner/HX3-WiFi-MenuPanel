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PlatformIO\Projects\HX3-WiFi-MenuPanel\docs\"/>
    </mc:Choice>
  </mc:AlternateContent>
  <bookViews>
    <workbookView xWindow="360" yWindow="60" windowWidth="30915" windowHeight="16425"/>
  </bookViews>
  <sheets>
    <sheet name="HX3 WIFI Controller" sheetId="4" r:id="rId1"/>
  </sheets>
  <calcPr calcId="162913"/>
</workbook>
</file>

<file path=xl/calcChain.xml><?xml version="1.0" encoding="utf-8"?>
<calcChain xmlns="http://schemas.openxmlformats.org/spreadsheetml/2006/main">
  <c r="Q1" i="4" l="1"/>
  <c r="Q217" i="4"/>
  <c r="A209" i="4"/>
  <c r="P207" i="4" l="1"/>
  <c r="P208" i="4"/>
  <c r="N207" i="4"/>
  <c r="N208" i="4"/>
  <c r="N209" i="4"/>
  <c r="N210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" i="4"/>
  <c r="M207" i="4"/>
  <c r="M208" i="4"/>
  <c r="M209" i="4"/>
  <c r="P209" i="4"/>
  <c r="M210" i="4"/>
  <c r="P210" i="4"/>
  <c r="M211" i="4"/>
  <c r="N211" i="4"/>
  <c r="P211" i="4"/>
  <c r="M212" i="4"/>
  <c r="N212" i="4"/>
  <c r="P212" i="4"/>
  <c r="M205" i="4" l="1"/>
  <c r="N205" i="4"/>
  <c r="P205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Q214" i="4" l="1"/>
  <c r="M2" i="4"/>
  <c r="N2" i="4"/>
  <c r="P2" i="4"/>
  <c r="M138" i="4" l="1"/>
  <c r="N138" i="4"/>
  <c r="P138" i="4"/>
  <c r="M139" i="4"/>
  <c r="N139" i="4"/>
  <c r="P139" i="4"/>
  <c r="M140" i="4"/>
  <c r="N140" i="4"/>
  <c r="P140" i="4"/>
  <c r="M27" i="4"/>
  <c r="N27" i="4"/>
  <c r="P27" i="4"/>
  <c r="P23" i="4"/>
  <c r="N23" i="4"/>
  <c r="M23" i="4"/>
  <c r="P22" i="4"/>
  <c r="N22" i="4"/>
  <c r="M22" i="4"/>
  <c r="M202" i="4"/>
  <c r="N202" i="4"/>
  <c r="P202" i="4"/>
  <c r="M206" i="4"/>
  <c r="N206" i="4"/>
  <c r="P206" i="4"/>
  <c r="M166" i="4"/>
  <c r="N166" i="4"/>
  <c r="P166" i="4"/>
  <c r="M12" i="4"/>
  <c r="N12" i="4"/>
  <c r="P12" i="4"/>
  <c r="M13" i="4"/>
  <c r="N13" i="4"/>
  <c r="P13" i="4"/>
  <c r="M4" i="4"/>
  <c r="N4" i="4"/>
  <c r="P4" i="4"/>
  <c r="M14" i="4"/>
  <c r="N14" i="4"/>
  <c r="P14" i="4"/>
  <c r="M15" i="4"/>
  <c r="N15" i="4"/>
  <c r="P15" i="4"/>
  <c r="M5" i="4"/>
  <c r="N5" i="4"/>
  <c r="P5" i="4"/>
  <c r="M16" i="4"/>
  <c r="N16" i="4"/>
  <c r="P16" i="4"/>
  <c r="M17" i="4"/>
  <c r="N17" i="4"/>
  <c r="P17" i="4"/>
  <c r="M6" i="4"/>
  <c r="N6" i="4"/>
  <c r="P6" i="4"/>
  <c r="M95" i="4"/>
  <c r="N95" i="4"/>
  <c r="P95" i="4"/>
  <c r="M96" i="4"/>
  <c r="N96" i="4"/>
  <c r="P96" i="4"/>
  <c r="M97" i="4"/>
  <c r="N97" i="4"/>
  <c r="P97" i="4"/>
  <c r="M98" i="4"/>
  <c r="N98" i="4"/>
  <c r="P98" i="4"/>
  <c r="M99" i="4"/>
  <c r="N99" i="4"/>
  <c r="P99" i="4"/>
  <c r="M100" i="4"/>
  <c r="N100" i="4"/>
  <c r="P100" i="4"/>
  <c r="M101" i="4"/>
  <c r="N101" i="4"/>
  <c r="P101" i="4"/>
  <c r="M102" i="4"/>
  <c r="N102" i="4"/>
  <c r="P102" i="4"/>
  <c r="M103" i="4"/>
  <c r="N103" i="4"/>
  <c r="P103" i="4"/>
  <c r="M104" i="4"/>
  <c r="N104" i="4"/>
  <c r="P104" i="4"/>
  <c r="M105" i="4"/>
  <c r="N105" i="4"/>
  <c r="P105" i="4"/>
  <c r="M106" i="4"/>
  <c r="N106" i="4"/>
  <c r="P106" i="4"/>
  <c r="M107" i="4"/>
  <c r="N107" i="4"/>
  <c r="P107" i="4"/>
  <c r="M108" i="4"/>
  <c r="N108" i="4"/>
  <c r="P108" i="4"/>
  <c r="M109" i="4"/>
  <c r="N109" i="4"/>
  <c r="P109" i="4"/>
  <c r="M110" i="4"/>
  <c r="N110" i="4"/>
  <c r="P110" i="4"/>
  <c r="M111" i="4"/>
  <c r="N111" i="4"/>
  <c r="P111" i="4"/>
  <c r="M112" i="4"/>
  <c r="N112" i="4"/>
  <c r="P112" i="4"/>
  <c r="M113" i="4"/>
  <c r="N113" i="4"/>
  <c r="P113" i="4"/>
  <c r="M114" i="4"/>
  <c r="N114" i="4"/>
  <c r="P114" i="4"/>
  <c r="M115" i="4"/>
  <c r="N115" i="4"/>
  <c r="P115" i="4"/>
  <c r="M116" i="4"/>
  <c r="N116" i="4"/>
  <c r="P116" i="4"/>
  <c r="M124" i="4"/>
  <c r="N124" i="4"/>
  <c r="P124" i="4"/>
  <c r="M125" i="4"/>
  <c r="N125" i="4"/>
  <c r="P125" i="4"/>
  <c r="M126" i="4"/>
  <c r="N126" i="4"/>
  <c r="P126" i="4"/>
  <c r="M127" i="4"/>
  <c r="N127" i="4"/>
  <c r="P127" i="4"/>
  <c r="M128" i="4"/>
  <c r="N128" i="4"/>
  <c r="P128" i="4"/>
  <c r="M47" i="4"/>
  <c r="N47" i="4"/>
  <c r="P47" i="4"/>
  <c r="M48" i="4"/>
  <c r="N48" i="4"/>
  <c r="P48" i="4"/>
  <c r="M49" i="4"/>
  <c r="N49" i="4"/>
  <c r="P49" i="4"/>
  <c r="M50" i="4"/>
  <c r="N50" i="4"/>
  <c r="P50" i="4"/>
  <c r="M51" i="4"/>
  <c r="N51" i="4"/>
  <c r="P51" i="4"/>
  <c r="M52" i="4"/>
  <c r="N52" i="4"/>
  <c r="P52" i="4"/>
  <c r="M53" i="4"/>
  <c r="N53" i="4"/>
  <c r="P53" i="4"/>
  <c r="M54" i="4"/>
  <c r="N54" i="4"/>
  <c r="P54" i="4"/>
  <c r="M55" i="4"/>
  <c r="N55" i="4"/>
  <c r="P55" i="4"/>
  <c r="M56" i="4"/>
  <c r="N56" i="4"/>
  <c r="P56" i="4"/>
  <c r="M57" i="4"/>
  <c r="N57" i="4"/>
  <c r="P57" i="4"/>
  <c r="M58" i="4"/>
  <c r="N58" i="4"/>
  <c r="P58" i="4"/>
  <c r="M59" i="4"/>
  <c r="N59" i="4"/>
  <c r="P59" i="4"/>
  <c r="M60" i="4"/>
  <c r="N60" i="4"/>
  <c r="P60" i="4"/>
  <c r="M61" i="4"/>
  <c r="N61" i="4"/>
  <c r="P61" i="4"/>
  <c r="M62" i="4"/>
  <c r="N62" i="4"/>
  <c r="P62" i="4"/>
  <c r="M63" i="4"/>
  <c r="N63" i="4"/>
  <c r="P63" i="4"/>
  <c r="M64" i="4"/>
  <c r="N64" i="4"/>
  <c r="P64" i="4"/>
  <c r="M65" i="4"/>
  <c r="N65" i="4"/>
  <c r="P65" i="4"/>
  <c r="M66" i="4"/>
  <c r="N66" i="4"/>
  <c r="P66" i="4"/>
  <c r="M67" i="4"/>
  <c r="N67" i="4"/>
  <c r="P67" i="4"/>
  <c r="M68" i="4"/>
  <c r="N68" i="4"/>
  <c r="P68" i="4"/>
  <c r="M69" i="4"/>
  <c r="N69" i="4"/>
  <c r="P69" i="4"/>
  <c r="M70" i="4"/>
  <c r="N70" i="4"/>
  <c r="P70" i="4"/>
  <c r="M71" i="4"/>
  <c r="N71" i="4"/>
  <c r="P71" i="4"/>
  <c r="M72" i="4"/>
  <c r="N72" i="4"/>
  <c r="P72" i="4"/>
  <c r="M73" i="4"/>
  <c r="N73" i="4"/>
  <c r="P73" i="4"/>
  <c r="M74" i="4"/>
  <c r="N74" i="4"/>
  <c r="P74" i="4"/>
  <c r="M75" i="4"/>
  <c r="N75" i="4"/>
  <c r="P75" i="4"/>
  <c r="M136" i="4"/>
  <c r="N136" i="4"/>
  <c r="P136" i="4"/>
  <c r="M137" i="4"/>
  <c r="N137" i="4"/>
  <c r="P137" i="4"/>
  <c r="M117" i="4"/>
  <c r="N117" i="4"/>
  <c r="P117" i="4"/>
  <c r="M118" i="4"/>
  <c r="N118" i="4"/>
  <c r="P118" i="4"/>
  <c r="M119" i="4"/>
  <c r="N119" i="4"/>
  <c r="P119" i="4"/>
  <c r="M120" i="4"/>
  <c r="N120" i="4"/>
  <c r="P120" i="4"/>
  <c r="M121" i="4"/>
  <c r="N121" i="4"/>
  <c r="P121" i="4"/>
  <c r="M122" i="4"/>
  <c r="N122" i="4"/>
  <c r="P122" i="4"/>
  <c r="M123" i="4"/>
  <c r="N123" i="4"/>
  <c r="P123" i="4"/>
  <c r="M37" i="4"/>
  <c r="N37" i="4"/>
  <c r="P37" i="4"/>
  <c r="M38" i="4"/>
  <c r="N38" i="4"/>
  <c r="P38" i="4"/>
  <c r="M39" i="4"/>
  <c r="N39" i="4"/>
  <c r="P39" i="4"/>
  <c r="M40" i="4"/>
  <c r="N40" i="4"/>
  <c r="P40" i="4"/>
  <c r="M41" i="4"/>
  <c r="N41" i="4"/>
  <c r="P41" i="4"/>
  <c r="M42" i="4"/>
  <c r="N42" i="4"/>
  <c r="P42" i="4"/>
  <c r="M43" i="4"/>
  <c r="N43" i="4"/>
  <c r="P43" i="4"/>
  <c r="M44" i="4"/>
  <c r="N44" i="4"/>
  <c r="P44" i="4"/>
  <c r="M45" i="4"/>
  <c r="N45" i="4"/>
  <c r="P45" i="4"/>
  <c r="M46" i="4"/>
  <c r="N46" i="4"/>
  <c r="P46" i="4"/>
  <c r="M76" i="4"/>
  <c r="N76" i="4"/>
  <c r="P76" i="4"/>
  <c r="M77" i="4"/>
  <c r="N77" i="4"/>
  <c r="P77" i="4"/>
  <c r="M78" i="4"/>
  <c r="N78" i="4"/>
  <c r="P78" i="4"/>
  <c r="M79" i="4"/>
  <c r="N79" i="4"/>
  <c r="P79" i="4"/>
  <c r="M80" i="4"/>
  <c r="N80" i="4"/>
  <c r="P80" i="4"/>
  <c r="M81" i="4"/>
  <c r="N81" i="4"/>
  <c r="P81" i="4"/>
  <c r="M82" i="4"/>
  <c r="N82" i="4"/>
  <c r="P82" i="4"/>
  <c r="M83" i="4"/>
  <c r="N83" i="4"/>
  <c r="P83" i="4"/>
  <c r="M84" i="4"/>
  <c r="N84" i="4"/>
  <c r="P84" i="4"/>
  <c r="M85" i="4"/>
  <c r="N85" i="4"/>
  <c r="P85" i="4"/>
  <c r="M86" i="4"/>
  <c r="N86" i="4"/>
  <c r="P86" i="4"/>
  <c r="M87" i="4"/>
  <c r="N87" i="4"/>
  <c r="P87" i="4"/>
  <c r="M88" i="4"/>
  <c r="N88" i="4"/>
  <c r="P88" i="4"/>
  <c r="M89" i="4"/>
  <c r="N89" i="4"/>
  <c r="P89" i="4"/>
  <c r="M90" i="4"/>
  <c r="N90" i="4"/>
  <c r="P90" i="4"/>
  <c r="M91" i="4"/>
  <c r="N91" i="4"/>
  <c r="P91" i="4"/>
  <c r="M92" i="4"/>
  <c r="N92" i="4"/>
  <c r="P92" i="4"/>
  <c r="M93" i="4"/>
  <c r="N93" i="4"/>
  <c r="P93" i="4"/>
  <c r="M94" i="4"/>
  <c r="N94" i="4"/>
  <c r="P94" i="4"/>
  <c r="M24" i="4"/>
  <c r="N24" i="4"/>
  <c r="P24" i="4"/>
  <c r="M177" i="4"/>
  <c r="N177" i="4"/>
  <c r="P177" i="4"/>
  <c r="M178" i="4"/>
  <c r="N178" i="4"/>
  <c r="P178" i="4"/>
  <c r="M179" i="4"/>
  <c r="N179" i="4"/>
  <c r="P179" i="4"/>
  <c r="M180" i="4"/>
  <c r="N180" i="4"/>
  <c r="P180" i="4"/>
  <c r="M181" i="4"/>
  <c r="N181" i="4"/>
  <c r="P181" i="4"/>
  <c r="M182" i="4"/>
  <c r="N182" i="4"/>
  <c r="P182" i="4"/>
  <c r="M183" i="4"/>
  <c r="N183" i="4"/>
  <c r="P183" i="4"/>
  <c r="M184" i="4"/>
  <c r="N184" i="4"/>
  <c r="P184" i="4"/>
  <c r="M11" i="4"/>
  <c r="N11" i="4"/>
  <c r="P11" i="4"/>
  <c r="M18" i="4"/>
  <c r="N18" i="4"/>
  <c r="P18" i="4"/>
  <c r="M19" i="4"/>
  <c r="N19" i="4"/>
  <c r="P19" i="4"/>
  <c r="M20" i="4"/>
  <c r="N20" i="4"/>
  <c r="P20" i="4"/>
  <c r="M155" i="4"/>
  <c r="N155" i="4"/>
  <c r="P155" i="4"/>
  <c r="M156" i="4"/>
  <c r="N156" i="4"/>
  <c r="P156" i="4"/>
  <c r="M157" i="4"/>
  <c r="N157" i="4"/>
  <c r="P157" i="4"/>
  <c r="M158" i="4"/>
  <c r="N158" i="4"/>
  <c r="P158" i="4"/>
  <c r="M159" i="4"/>
  <c r="N159" i="4"/>
  <c r="P159" i="4"/>
  <c r="M160" i="4"/>
  <c r="N160" i="4"/>
  <c r="P160" i="4"/>
  <c r="M161" i="4"/>
  <c r="N161" i="4"/>
  <c r="P161" i="4"/>
  <c r="M162" i="4"/>
  <c r="N162" i="4"/>
  <c r="P162" i="4"/>
  <c r="M26" i="4"/>
  <c r="N26" i="4"/>
  <c r="P26" i="4"/>
  <c r="M141" i="4"/>
  <c r="N141" i="4"/>
  <c r="P141" i="4"/>
  <c r="M142" i="4"/>
  <c r="N142" i="4"/>
  <c r="P142" i="4"/>
  <c r="M143" i="4"/>
  <c r="N143" i="4"/>
  <c r="P143" i="4"/>
  <c r="M144" i="4"/>
  <c r="N144" i="4"/>
  <c r="P144" i="4"/>
  <c r="M145" i="4"/>
  <c r="N145" i="4"/>
  <c r="P145" i="4"/>
  <c r="M146" i="4"/>
  <c r="N146" i="4"/>
  <c r="P146" i="4"/>
  <c r="M147" i="4"/>
  <c r="N147" i="4"/>
  <c r="P147" i="4"/>
  <c r="M148" i="4"/>
  <c r="N148" i="4"/>
  <c r="P148" i="4"/>
  <c r="M149" i="4"/>
  <c r="N149" i="4"/>
  <c r="P149" i="4"/>
  <c r="M150" i="4"/>
  <c r="N150" i="4"/>
  <c r="P150" i="4"/>
  <c r="M151" i="4"/>
  <c r="N151" i="4"/>
  <c r="P151" i="4"/>
  <c r="M152" i="4"/>
  <c r="N152" i="4"/>
  <c r="P152" i="4"/>
  <c r="M153" i="4"/>
  <c r="N153" i="4"/>
  <c r="P153" i="4"/>
  <c r="M154" i="4"/>
  <c r="N154" i="4"/>
  <c r="P154" i="4"/>
  <c r="M185" i="4"/>
  <c r="N185" i="4"/>
  <c r="P185" i="4"/>
  <c r="M186" i="4"/>
  <c r="N186" i="4"/>
  <c r="P186" i="4"/>
  <c r="M187" i="4"/>
  <c r="N187" i="4"/>
  <c r="P187" i="4"/>
  <c r="M188" i="4"/>
  <c r="N188" i="4"/>
  <c r="P188" i="4"/>
  <c r="M189" i="4"/>
  <c r="N189" i="4"/>
  <c r="P189" i="4"/>
  <c r="M163" i="4"/>
  <c r="N163" i="4"/>
  <c r="P163" i="4"/>
  <c r="M164" i="4"/>
  <c r="N164" i="4"/>
  <c r="P164" i="4"/>
  <c r="M165" i="4"/>
  <c r="N165" i="4"/>
  <c r="P165" i="4"/>
  <c r="M167" i="4"/>
  <c r="N167" i="4"/>
  <c r="P167" i="4"/>
  <c r="M168" i="4"/>
  <c r="N168" i="4"/>
  <c r="P168" i="4"/>
  <c r="M169" i="4"/>
  <c r="N169" i="4"/>
  <c r="P169" i="4"/>
  <c r="M170" i="4"/>
  <c r="N170" i="4"/>
  <c r="P170" i="4"/>
  <c r="M171" i="4"/>
  <c r="N171" i="4"/>
  <c r="P171" i="4"/>
  <c r="M172" i="4"/>
  <c r="N172" i="4"/>
  <c r="P172" i="4"/>
  <c r="M173" i="4"/>
  <c r="N173" i="4"/>
  <c r="P173" i="4"/>
  <c r="M174" i="4"/>
  <c r="N174" i="4"/>
  <c r="P174" i="4"/>
  <c r="M175" i="4"/>
  <c r="N175" i="4"/>
  <c r="P175" i="4"/>
  <c r="M176" i="4"/>
  <c r="N176" i="4"/>
  <c r="P176" i="4"/>
  <c r="Q22" i="4" l="1"/>
  <c r="N25" i="4"/>
  <c r="P25" i="4"/>
  <c r="M25" i="4"/>
  <c r="P3" i="4"/>
  <c r="P8" i="4"/>
  <c r="P9" i="4"/>
  <c r="P7" i="4"/>
  <c r="P10" i="4"/>
  <c r="P28" i="4"/>
  <c r="P29" i="4"/>
  <c r="P30" i="4"/>
  <c r="P31" i="4"/>
  <c r="P32" i="4"/>
  <c r="P33" i="4"/>
  <c r="P34" i="4"/>
  <c r="P35" i="4"/>
  <c r="P36" i="4"/>
  <c r="P129" i="4"/>
  <c r="P130" i="4"/>
  <c r="P131" i="4"/>
  <c r="P132" i="4"/>
  <c r="P134" i="4"/>
  <c r="P133" i="4"/>
  <c r="P135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3" i="4"/>
  <c r="P204" i="4"/>
  <c r="P21" i="4"/>
  <c r="M3" i="4"/>
  <c r="N3" i="4"/>
  <c r="M8" i="4"/>
  <c r="N8" i="4"/>
  <c r="M9" i="4"/>
  <c r="N9" i="4"/>
  <c r="M7" i="4"/>
  <c r="N7" i="4"/>
  <c r="M10" i="4"/>
  <c r="N10" i="4"/>
  <c r="M28" i="4"/>
  <c r="N28" i="4"/>
  <c r="M29" i="4"/>
  <c r="N29" i="4"/>
  <c r="M30" i="4"/>
  <c r="N30" i="4"/>
  <c r="M31" i="4"/>
  <c r="N31" i="4"/>
  <c r="M32" i="4"/>
  <c r="N32" i="4"/>
  <c r="M33" i="4"/>
  <c r="N33" i="4"/>
  <c r="M34" i="4"/>
  <c r="N34" i="4"/>
  <c r="M35" i="4"/>
  <c r="N35" i="4"/>
  <c r="M36" i="4"/>
  <c r="N36" i="4"/>
  <c r="M129" i="4"/>
  <c r="N129" i="4"/>
  <c r="M130" i="4"/>
  <c r="N130" i="4"/>
  <c r="M131" i="4"/>
  <c r="N131" i="4"/>
  <c r="M132" i="4"/>
  <c r="N132" i="4"/>
  <c r="M134" i="4"/>
  <c r="N134" i="4"/>
  <c r="M133" i="4"/>
  <c r="N133" i="4"/>
  <c r="M135" i="4"/>
  <c r="N135" i="4"/>
  <c r="M190" i="4"/>
  <c r="N190" i="4"/>
  <c r="M191" i="4"/>
  <c r="N191" i="4"/>
  <c r="M192" i="4"/>
  <c r="N192" i="4"/>
  <c r="M193" i="4"/>
  <c r="N193" i="4"/>
  <c r="M194" i="4"/>
  <c r="N194" i="4"/>
  <c r="M195" i="4"/>
  <c r="N195" i="4"/>
  <c r="M196" i="4"/>
  <c r="N196" i="4"/>
  <c r="M197" i="4"/>
  <c r="N197" i="4"/>
  <c r="M198" i="4"/>
  <c r="N198" i="4"/>
  <c r="M199" i="4"/>
  <c r="N199" i="4"/>
  <c r="M200" i="4"/>
  <c r="N200" i="4"/>
  <c r="M201" i="4"/>
  <c r="N201" i="4"/>
  <c r="M203" i="4"/>
  <c r="N203" i="4"/>
  <c r="M204" i="4"/>
  <c r="N204" i="4"/>
  <c r="A23" i="4" l="1"/>
  <c r="Q23" i="4" s="1"/>
  <c r="N21" i="4"/>
  <c r="M21" i="4"/>
  <c r="C8" i="4" l="1"/>
  <c r="A24" i="4" l="1"/>
  <c r="Q24" i="4" s="1"/>
  <c r="D8" i="4"/>
  <c r="Q8" i="4" s="1"/>
  <c r="A25" i="4" l="1"/>
  <c r="C7" i="4"/>
  <c r="A26" i="4" l="1"/>
  <c r="Q26" i="4" s="1"/>
  <c r="Q25" i="4"/>
  <c r="A27" i="4"/>
  <c r="Q27" i="4" s="1"/>
  <c r="E8" i="4"/>
  <c r="C9" i="4" l="1"/>
  <c r="A28" i="4"/>
  <c r="D9" i="4"/>
  <c r="A29" i="4" l="1"/>
  <c r="Q28" i="4"/>
  <c r="Q9" i="4"/>
  <c r="E9" i="4"/>
  <c r="D7" i="4"/>
  <c r="A30" i="4" l="1"/>
  <c r="Q29" i="4"/>
  <c r="E7" i="4"/>
  <c r="Q7" i="4"/>
  <c r="C3" i="4"/>
  <c r="A31" i="4" l="1"/>
  <c r="Q30" i="4"/>
  <c r="A32" i="4" l="1"/>
  <c r="Q31" i="4"/>
  <c r="Q32" i="4" l="1"/>
  <c r="A33" i="4"/>
  <c r="Q33" i="4" l="1"/>
  <c r="A34" i="4"/>
  <c r="Q34" i="4" l="1"/>
  <c r="A35" i="4"/>
  <c r="Q35" i="4" l="1"/>
  <c r="A36" i="4"/>
  <c r="Q36" i="4" l="1"/>
  <c r="A37" i="4"/>
  <c r="Q37" i="4" l="1"/>
  <c r="A38" i="4"/>
  <c r="Q38" i="4" l="1"/>
  <c r="A39" i="4"/>
  <c r="Q39" i="4" l="1"/>
  <c r="A40" i="4"/>
  <c r="D3" i="4"/>
  <c r="Q3" i="4" l="1"/>
  <c r="E3" i="4"/>
  <c r="Q40" i="4"/>
  <c r="A41" i="4"/>
  <c r="C13" i="4"/>
  <c r="Q41" i="4" l="1"/>
  <c r="A42" i="4"/>
  <c r="Q42" i="4" l="1"/>
  <c r="A43" i="4"/>
  <c r="Q43" i="4" l="1"/>
  <c r="A44" i="4"/>
  <c r="Q44" i="4" l="1"/>
  <c r="A45" i="4"/>
  <c r="Q45" i="4" l="1"/>
  <c r="A46" i="4"/>
  <c r="Q46" i="4" l="1"/>
  <c r="A47" i="4"/>
  <c r="D13" i="4"/>
  <c r="Q13" i="4" l="1"/>
  <c r="E13" i="4"/>
  <c r="Q47" i="4"/>
  <c r="A48" i="4"/>
  <c r="C12" i="4"/>
  <c r="Q48" i="4" l="1"/>
  <c r="A49" i="4"/>
  <c r="Q49" i="4" l="1"/>
  <c r="A50" i="4"/>
  <c r="Q50" i="4" l="1"/>
  <c r="A51" i="4"/>
  <c r="Q51" i="4" l="1"/>
  <c r="A52" i="4"/>
  <c r="Q52" i="4" l="1"/>
  <c r="A53" i="4"/>
  <c r="Q53" i="4" l="1"/>
  <c r="A54" i="4"/>
  <c r="Q54" i="4" l="1"/>
  <c r="A55" i="4"/>
  <c r="Q55" i="4" l="1"/>
  <c r="A56" i="4"/>
  <c r="Q56" i="4" l="1"/>
  <c r="A57" i="4"/>
  <c r="Q57" i="4" l="1"/>
  <c r="A58" i="4"/>
  <c r="Q58" i="4" l="1"/>
  <c r="A59" i="4"/>
  <c r="Q59" i="4" l="1"/>
  <c r="A60" i="4"/>
  <c r="Q60" i="4" l="1"/>
  <c r="A61" i="4"/>
  <c r="Q61" i="4" l="1"/>
  <c r="A62" i="4"/>
  <c r="Q62" i="4" l="1"/>
  <c r="A63" i="4"/>
  <c r="Q63" i="4" l="1"/>
  <c r="A64" i="4"/>
  <c r="Q64" i="4" l="1"/>
  <c r="A65" i="4"/>
  <c r="Q65" i="4" l="1"/>
  <c r="A66" i="4"/>
  <c r="Q66" i="4" l="1"/>
  <c r="A67" i="4"/>
  <c r="Q67" i="4" l="1"/>
  <c r="A68" i="4"/>
  <c r="Q68" i="4" l="1"/>
  <c r="A69" i="4"/>
  <c r="Q69" i="4" l="1"/>
  <c r="A70" i="4"/>
  <c r="Q70" i="4" l="1"/>
  <c r="A71" i="4"/>
  <c r="Q71" i="4" l="1"/>
  <c r="A72" i="4"/>
  <c r="Q72" i="4" l="1"/>
  <c r="A73" i="4"/>
  <c r="Q73" i="4" l="1"/>
  <c r="A74" i="4"/>
  <c r="Q74" i="4" l="1"/>
  <c r="A75" i="4"/>
  <c r="Q75" i="4" l="1"/>
  <c r="A76" i="4"/>
  <c r="D12" i="4"/>
  <c r="E12" i="4" l="1"/>
  <c r="Q12" i="4"/>
  <c r="Q76" i="4"/>
  <c r="A77" i="4"/>
  <c r="C4" i="4"/>
  <c r="Q77" i="4" l="1"/>
  <c r="A78" i="4"/>
  <c r="Q78" i="4" l="1"/>
  <c r="A79" i="4"/>
  <c r="Q79" i="4" l="1"/>
  <c r="A80" i="4"/>
  <c r="Q80" i="4" l="1"/>
  <c r="A81" i="4"/>
  <c r="Q81" i="4" l="1"/>
  <c r="A82" i="4"/>
  <c r="Q82" i="4" l="1"/>
  <c r="A83" i="4"/>
  <c r="Q83" i="4" l="1"/>
  <c r="A84" i="4"/>
  <c r="Q84" i="4" l="1"/>
  <c r="A85" i="4"/>
  <c r="Q85" i="4" l="1"/>
  <c r="A86" i="4"/>
  <c r="Q86" i="4" l="1"/>
  <c r="A87" i="4"/>
  <c r="Q87" i="4" l="1"/>
  <c r="D4" i="4"/>
  <c r="A88" i="4"/>
  <c r="Q88" i="4" l="1"/>
  <c r="C15" i="4"/>
  <c r="A89" i="4"/>
  <c r="Q4" i="4"/>
  <c r="E4" i="4"/>
  <c r="Q89" i="4" l="1"/>
  <c r="A90" i="4"/>
  <c r="Q90" i="4" l="1"/>
  <c r="A91" i="4"/>
  <c r="Q91" i="4" l="1"/>
  <c r="A92" i="4"/>
  <c r="Q92" i="4" l="1"/>
  <c r="A93" i="4"/>
  <c r="Q93" i="4" l="1"/>
  <c r="A94" i="4"/>
  <c r="Q94" i="4" l="1"/>
  <c r="A95" i="4"/>
  <c r="D15" i="4"/>
  <c r="Q15" i="4" l="1"/>
  <c r="E15" i="4"/>
  <c r="Q95" i="4"/>
  <c r="C14" i="4"/>
  <c r="A96" i="4"/>
  <c r="Q96" i="4" l="1"/>
  <c r="A97" i="4"/>
  <c r="Q97" i="4" l="1"/>
  <c r="A98" i="4"/>
  <c r="Q98" i="4" l="1"/>
  <c r="A99" i="4"/>
  <c r="Q99" i="4" l="1"/>
  <c r="A100" i="4"/>
  <c r="Q100" i="4" l="1"/>
  <c r="A101" i="4"/>
  <c r="Q101" i="4" l="1"/>
  <c r="A102" i="4"/>
  <c r="Q102" i="4" l="1"/>
  <c r="A103" i="4"/>
  <c r="Q103" i="4" l="1"/>
  <c r="A104" i="4"/>
  <c r="Q104" i="4" l="1"/>
  <c r="A105" i="4"/>
  <c r="Q105" i="4" l="1"/>
  <c r="A106" i="4"/>
  <c r="Q106" i="4" l="1"/>
  <c r="A107" i="4"/>
  <c r="Q107" i="4" l="1"/>
  <c r="A108" i="4"/>
  <c r="Q108" i="4" l="1"/>
  <c r="A109" i="4"/>
  <c r="Q109" i="4" l="1"/>
  <c r="A110" i="4"/>
  <c r="Q110" i="4" l="1"/>
  <c r="A111" i="4"/>
  <c r="Q111" i="4" l="1"/>
  <c r="D14" i="4"/>
  <c r="A112" i="4"/>
  <c r="Q112" i="4" l="1"/>
  <c r="A113" i="4"/>
  <c r="C5" i="4"/>
  <c r="Q14" i="4"/>
  <c r="E14" i="4"/>
  <c r="Q113" i="4" l="1"/>
  <c r="A114" i="4"/>
  <c r="Q114" i="4" l="1"/>
  <c r="A115" i="4"/>
  <c r="Q115" i="4" l="1"/>
  <c r="A116" i="4"/>
  <c r="Q116" i="4" l="1"/>
  <c r="D5" i="4"/>
  <c r="A117" i="4"/>
  <c r="Q117" i="4" l="1"/>
  <c r="A118" i="4"/>
  <c r="C17" i="4"/>
  <c r="Q5" i="4"/>
  <c r="E5" i="4"/>
  <c r="Q118" i="4" l="1"/>
  <c r="A119" i="4"/>
  <c r="Q119" i="4" l="1"/>
  <c r="A120" i="4"/>
  <c r="Q120" i="4" l="1"/>
  <c r="A121" i="4"/>
  <c r="Q121" i="4" l="1"/>
  <c r="A122" i="4"/>
  <c r="Q122" i="4" l="1"/>
  <c r="A123" i="4"/>
  <c r="Q123" i="4" l="1"/>
  <c r="D17" i="4"/>
  <c r="A124" i="4"/>
  <c r="Q124" i="4" l="1"/>
  <c r="C16" i="4"/>
  <c r="A125" i="4"/>
  <c r="Q17" i="4"/>
  <c r="E17" i="4"/>
  <c r="Q125" i="4" l="1"/>
  <c r="A126" i="4"/>
  <c r="Q126" i="4" l="1"/>
  <c r="A127" i="4"/>
  <c r="Q127" i="4" l="1"/>
  <c r="A128" i="4"/>
  <c r="Q128" i="4" l="1"/>
  <c r="A129" i="4"/>
  <c r="D16" i="4"/>
  <c r="Q16" i="4" l="1"/>
  <c r="E16" i="4"/>
  <c r="Q129" i="4"/>
  <c r="C6" i="4"/>
  <c r="A130" i="4"/>
  <c r="Q130" i="4" l="1"/>
  <c r="A131" i="4"/>
  <c r="Q131" i="4" l="1"/>
  <c r="A132" i="4"/>
  <c r="A133" i="4" l="1"/>
  <c r="Q132" i="4"/>
  <c r="A134" i="4" l="1"/>
  <c r="Q133" i="4"/>
  <c r="A135" i="4" l="1"/>
  <c r="Q134" i="4"/>
  <c r="A136" i="4" l="1"/>
  <c r="Q135" i="4"/>
  <c r="Q136" i="4" l="1"/>
  <c r="A137" i="4"/>
  <c r="A138" i="4" l="1"/>
  <c r="Q137" i="4"/>
  <c r="Q138" i="4" l="1"/>
  <c r="A139" i="4"/>
  <c r="Q139" i="4" l="1"/>
  <c r="A140" i="4"/>
  <c r="Q140" i="4" l="1"/>
  <c r="A141" i="4"/>
  <c r="D6" i="4"/>
  <c r="Q6" i="4" l="1"/>
  <c r="E6" i="4"/>
  <c r="Q141" i="4"/>
  <c r="A142" i="4"/>
  <c r="C18" i="4"/>
  <c r="Q142" i="4" l="1"/>
  <c r="A143" i="4"/>
  <c r="Q143" i="4" l="1"/>
  <c r="A144" i="4"/>
  <c r="Q144" i="4" l="1"/>
  <c r="A145" i="4"/>
  <c r="Q145" i="4" l="1"/>
  <c r="A146" i="4"/>
  <c r="Q146" i="4" l="1"/>
  <c r="A147" i="4"/>
  <c r="Q147" i="4" l="1"/>
  <c r="A148" i="4"/>
  <c r="Q148" i="4" l="1"/>
  <c r="A149" i="4"/>
  <c r="Q149" i="4" l="1"/>
  <c r="A150" i="4"/>
  <c r="Q150" i="4" l="1"/>
  <c r="A151" i="4"/>
  <c r="Q151" i="4" l="1"/>
  <c r="A152" i="4"/>
  <c r="Q152" i="4" l="1"/>
  <c r="A153" i="4"/>
  <c r="Q153" i="4" l="1"/>
  <c r="A154" i="4"/>
  <c r="Q154" i="4" l="1"/>
  <c r="A155" i="4"/>
  <c r="Q155" i="4" l="1"/>
  <c r="A156" i="4"/>
  <c r="Q156" i="4" l="1"/>
  <c r="A157" i="4"/>
  <c r="Q157" i="4" l="1"/>
  <c r="A158" i="4"/>
  <c r="Q158" i="4" l="1"/>
  <c r="A159" i="4"/>
  <c r="Q159" i="4" l="1"/>
  <c r="A160" i="4"/>
  <c r="Q160" i="4" l="1"/>
  <c r="A161" i="4"/>
  <c r="Q161" i="4" l="1"/>
  <c r="A162" i="4"/>
  <c r="D18" i="4" l="1"/>
  <c r="Q162" i="4"/>
  <c r="A163" i="4"/>
  <c r="Q163" i="4" l="1"/>
  <c r="A164" i="4"/>
  <c r="C10" i="4"/>
  <c r="Q18" i="4"/>
  <c r="E18" i="4"/>
  <c r="Q164" i="4" l="1"/>
  <c r="A165" i="4"/>
  <c r="Q165" i="4" l="1"/>
  <c r="A166" i="4"/>
  <c r="D10" i="4"/>
  <c r="Q166" i="4" l="1"/>
  <c r="A167" i="4"/>
  <c r="C11" i="4"/>
  <c r="E10" i="4"/>
  <c r="Q10" i="4"/>
  <c r="Q167" i="4" l="1"/>
  <c r="A168" i="4"/>
  <c r="Q168" i="4" l="1"/>
  <c r="A169" i="4"/>
  <c r="Q169" i="4" l="1"/>
  <c r="A170" i="4"/>
  <c r="Q170" i="4" l="1"/>
  <c r="A171" i="4"/>
  <c r="Q171" i="4" l="1"/>
  <c r="A172" i="4"/>
  <c r="Q172" i="4" l="1"/>
  <c r="A173" i="4"/>
  <c r="Q173" i="4" l="1"/>
  <c r="A174" i="4"/>
  <c r="Q174" i="4" l="1"/>
  <c r="A175" i="4"/>
  <c r="Q175" i="4" l="1"/>
  <c r="A176" i="4"/>
  <c r="Q176" i="4" l="1"/>
  <c r="A177" i="4"/>
  <c r="D11" i="4"/>
  <c r="Q11" i="4" l="1"/>
  <c r="E11" i="4"/>
  <c r="Q177" i="4"/>
  <c r="C19" i="4"/>
  <c r="A178" i="4"/>
  <c r="Q178" i="4" l="1"/>
  <c r="A179" i="4"/>
  <c r="Q179" i="4" l="1"/>
  <c r="A180" i="4"/>
  <c r="Q180" i="4" l="1"/>
  <c r="A181" i="4"/>
  <c r="Q181" i="4" l="1"/>
  <c r="A182" i="4"/>
  <c r="Q182" i="4" l="1"/>
  <c r="A183" i="4"/>
  <c r="Q183" i="4" l="1"/>
  <c r="A184" i="4"/>
  <c r="Q184" i="4" l="1"/>
  <c r="A185" i="4"/>
  <c r="Q185" i="4" l="1"/>
  <c r="A186" i="4"/>
  <c r="Q186" i="4" l="1"/>
  <c r="A187" i="4"/>
  <c r="Q187" i="4" l="1"/>
  <c r="A188" i="4"/>
  <c r="Q188" i="4" l="1"/>
  <c r="A189" i="4"/>
  <c r="Q189" i="4" l="1"/>
  <c r="A190" i="4"/>
  <c r="D19" i="4"/>
  <c r="A210" i="4" l="1"/>
  <c r="Q209" i="4"/>
  <c r="Q19" i="4"/>
  <c r="E19" i="4"/>
  <c r="Q190" i="4"/>
  <c r="C20" i="4"/>
  <c r="A191" i="4"/>
  <c r="Q191" i="4" l="1"/>
  <c r="A192" i="4"/>
  <c r="A211" i="4"/>
  <c r="Q210" i="4"/>
  <c r="A212" i="4" l="1"/>
  <c r="Q211" i="4"/>
  <c r="Q192" i="4"/>
  <c r="A193" i="4"/>
  <c r="Q193" i="4" l="1"/>
  <c r="A194" i="4"/>
  <c r="Q212" i="4"/>
  <c r="D21" i="4"/>
  <c r="Q216" i="4"/>
  <c r="Q194" i="4" l="1"/>
  <c r="A195" i="4"/>
  <c r="A213" i="4"/>
  <c r="A196" i="4" l="1"/>
  <c r="Q195" i="4"/>
  <c r="A197" i="4" l="1"/>
  <c r="Q196" i="4"/>
  <c r="A198" i="4" l="1"/>
  <c r="Q197" i="4"/>
  <c r="A199" i="4" l="1"/>
  <c r="Q198" i="4"/>
  <c r="A200" i="4" l="1"/>
  <c r="Q199" i="4"/>
  <c r="A201" i="4" l="1"/>
  <c r="Q200" i="4"/>
  <c r="A202" i="4" l="1"/>
  <c r="Q201" i="4"/>
  <c r="D20" i="4"/>
  <c r="Q20" i="4" l="1"/>
  <c r="E20" i="4"/>
  <c r="A203" i="4"/>
  <c r="Q202" i="4"/>
  <c r="C2" i="4"/>
  <c r="A204" i="4" l="1"/>
  <c r="Q203" i="4"/>
  <c r="D2" i="4"/>
  <c r="E2" i="4" s="1"/>
  <c r="Q204" i="4" l="1"/>
  <c r="A205" i="4"/>
  <c r="C21" i="4"/>
  <c r="Q2" i="4"/>
  <c r="Q21" i="4" l="1"/>
  <c r="E21" i="4"/>
  <c r="A206" i="4"/>
  <c r="Q205" i="4"/>
  <c r="A207" i="4" l="1"/>
  <c r="Q206" i="4"/>
  <c r="A208" i="4" l="1"/>
  <c r="Q207" i="4"/>
  <c r="Q208" i="4" l="1"/>
  <c r="Q215" i="4"/>
</calcChain>
</file>

<file path=xl/comments1.xml><?xml version="1.0" encoding="utf-8"?>
<comments xmlns="http://schemas.openxmlformats.org/spreadsheetml/2006/main">
  <authors>
    <author>Carsten</author>
  </authors>
  <commentList>
    <comment ref="C12" authorId="0" shapeId="0">
      <text>
        <r>
          <rPr>
            <b/>
            <sz val="9"/>
            <color indexed="81"/>
            <rFont val="Segoe UI"/>
            <family val="2"/>
          </rPr>
          <t>Carsten:</t>
        </r>
        <r>
          <rPr>
            <sz val="9"/>
            <color indexed="81"/>
            <rFont val="Segoe UI"/>
            <family val="2"/>
          </rPr>
          <t xml:space="preserve">
Start/End -1, wenn kein Submenu vorhanden ist</t>
        </r>
      </text>
    </comment>
  </commentList>
</comments>
</file>

<file path=xl/sharedStrings.xml><?xml version="1.0" encoding="utf-8"?>
<sst xmlns="http://schemas.openxmlformats.org/spreadsheetml/2006/main" count="861" uniqueCount="207">
  <si>
    <t>Index #</t>
  </si>
  <si>
    <t>Velocity Slope</t>
  </si>
  <si>
    <t>};</t>
  </si>
  <si>
    <t>Min</t>
  </si>
  <si>
    <t>Max</t>
  </si>
  <si>
    <t>Menu Entry String (max. 15 Chars)</t>
  </si>
  <si>
    <t>Master Volume</t>
  </si>
  <si>
    <t>Amp Gain</t>
  </si>
  <si>
    <t>NULL</t>
  </si>
  <si>
    <t>Menu-Text</t>
  </si>
  <si>
    <t>MIDI Channel</t>
  </si>
  <si>
    <t>Upper Voice</t>
  </si>
  <si>
    <t>Lower Voice</t>
  </si>
  <si>
    <t>Pedal Voice</t>
  </si>
  <si>
    <t>Perc Soft</t>
  </si>
  <si>
    <t>Perc Fast</t>
  </si>
  <si>
    <t>Perc Third</t>
  </si>
  <si>
    <t>Vib Knob</t>
  </si>
  <si>
    <t>Vib On Lower</t>
  </si>
  <si>
    <t>Vib On Upper</t>
  </si>
  <si>
    <t>Preset</t>
  </si>
  <si>
    <t>Tabs</t>
  </si>
  <si>
    <t>none</t>
  </si>
  <si>
    <t>displayType</t>
  </si>
  <si>
    <t>numeric</t>
  </si>
  <si>
    <t>drawbar</t>
  </si>
  <si>
    <t>tab</t>
  </si>
  <si>
    <t>savePreset</t>
  </si>
  <si>
    <t xml:space="preserve">MIDI CC Set  </t>
  </si>
  <si>
    <t>MIDI Swell CC</t>
  </si>
  <si>
    <t>MIDI VolumeCC</t>
  </si>
  <si>
    <t>MIDI PresetCC</t>
  </si>
  <si>
    <t xml:space="preserve">MIDI Send    </t>
  </si>
  <si>
    <t xml:space="preserve">Split Keyb   </t>
  </si>
  <si>
    <t xml:space="preserve">Split Point  </t>
  </si>
  <si>
    <t xml:space="preserve">Split Mode   </t>
  </si>
  <si>
    <t>No ProgChgRcv</t>
  </si>
  <si>
    <t>Rotary Speed</t>
  </si>
  <si>
    <t>Rotary Bypass</t>
  </si>
  <si>
    <t>Reverb Prgm</t>
  </si>
  <si>
    <t>Transpose</t>
  </si>
  <si>
    <t>button</t>
  </si>
  <si>
    <t>Zuweisung displayType</t>
  </si>
  <si>
    <t>Array Index</t>
  </si>
  <si>
    <t>Zuweisung enterAction</t>
  </si>
  <si>
    <t>Submenu Start</t>
  </si>
  <si>
    <t>Submenu End</t>
  </si>
  <si>
    <t xml:space="preserve">Mid Equ Frq  </t>
  </si>
  <si>
    <t>Equalizer</t>
  </si>
  <si>
    <t>AO28 Tone Pot</t>
  </si>
  <si>
    <t>AO28 Gain Cap</t>
  </si>
  <si>
    <t>AO28 MinSwell</t>
  </si>
  <si>
    <t>AO28 Tube Age</t>
  </si>
  <si>
    <t xml:space="preserve">Rotary Throb </t>
  </si>
  <si>
    <t>Rotary Spread</t>
  </si>
  <si>
    <t>Tube Select A</t>
  </si>
  <si>
    <t>Tube Select B</t>
  </si>
  <si>
    <t>Lubed Contacts</t>
  </si>
  <si>
    <t>Perc Muted Lvl</t>
  </si>
  <si>
    <t>H100 2ndVoice</t>
  </si>
  <si>
    <t xml:space="preserve">EG DB To Dry </t>
  </si>
  <si>
    <t>Ext FX Insert</t>
  </si>
  <si>
    <t>Drawbar 16</t>
  </si>
  <si>
    <t>Drawbar 5 1/3</t>
  </si>
  <si>
    <t>Drawbar 8</t>
  </si>
  <si>
    <t>Drawbar 4</t>
  </si>
  <si>
    <t>Drawbar 2 2/3</t>
  </si>
  <si>
    <t>Drawbar 2</t>
  </si>
  <si>
    <t>Drawbar 1 3/5</t>
  </si>
  <si>
    <t>Drawbar 1 1/3</t>
  </si>
  <si>
    <t>Drawbar 1</t>
  </si>
  <si>
    <t>Drawbar Mix 1</t>
  </si>
  <si>
    <t>Drawbar Mix 2</t>
  </si>
  <si>
    <t>Drawbar Mix 3</t>
  </si>
  <si>
    <t>GM Prg 1</t>
  </si>
  <si>
    <t>GM Hrm 1</t>
  </si>
  <si>
    <t>GM Prg 2</t>
  </si>
  <si>
    <t>GM Harm2</t>
  </si>
  <si>
    <t>GM Harm1</t>
  </si>
  <si>
    <t>Upper ADSR</t>
  </si>
  <si>
    <t>Lower ADSR</t>
  </si>
  <si>
    <t>Env/Perc 16</t>
  </si>
  <si>
    <t>Env/Perc 5 1/3</t>
  </si>
  <si>
    <t>Env/Perc 8</t>
  </si>
  <si>
    <t>Env/Perc 4</t>
  </si>
  <si>
    <t>Env/Perc 2 2/3</t>
  </si>
  <si>
    <t>Env/Perc 2</t>
  </si>
  <si>
    <t>Env/Perc 1 3/5</t>
  </si>
  <si>
    <t>Env/Perc 1 1/3</t>
  </si>
  <si>
    <t>Env/Perc 1</t>
  </si>
  <si>
    <t>ADSR on 16</t>
  </si>
  <si>
    <t>ADSR on 5 1/3</t>
  </si>
  <si>
    <t>ADSR on 8</t>
  </si>
  <si>
    <t>ADSR on 4</t>
  </si>
  <si>
    <t>ADSR on 2 2/3</t>
  </si>
  <si>
    <t>ADSR on 2</t>
  </si>
  <si>
    <t>ADSR on 1 3/5</t>
  </si>
  <si>
    <t>ADSR on 1 1/3</t>
  </si>
  <si>
    <t>ADSR on 1</t>
  </si>
  <si>
    <t>Attack</t>
  </si>
  <si>
    <t>Decay</t>
  </si>
  <si>
    <t>Sustain</t>
  </si>
  <si>
    <t>Release</t>
  </si>
  <si>
    <t>ADSR Harmonic</t>
  </si>
  <si>
    <t>Env/Perc Mix 1</t>
  </si>
  <si>
    <t>Env/Perc Mix 2</t>
  </si>
  <si>
    <t>Env/Perc Mix 3</t>
  </si>
  <si>
    <t>ADSR on Mix 1</t>
  </si>
  <si>
    <t>ADSR on Mix 2</t>
  </si>
  <si>
    <t>ADSR on Mix 3</t>
  </si>
  <si>
    <t>Pedal ADSR</t>
  </si>
  <si>
    <t>GM Detune 2</t>
  </si>
  <si>
    <t>Horn SlowSpeed</t>
  </si>
  <si>
    <t>Rotr SlowSpeed</t>
  </si>
  <si>
    <t>Horn FastSpeed</t>
  </si>
  <si>
    <t>Rotr FastSpeed</t>
  </si>
  <si>
    <t xml:space="preserve">Horn RampUp   </t>
  </si>
  <si>
    <t xml:space="preserve">Rotor RampUp  </t>
  </si>
  <si>
    <t xml:space="preserve">Horn RampDown </t>
  </si>
  <si>
    <t>Rotor RampDown</t>
  </si>
  <si>
    <t>Treble Level</t>
  </si>
  <si>
    <t>Gating Mode</t>
  </si>
  <si>
    <t>TG WaveSet</t>
  </si>
  <si>
    <t>TG Tapering</t>
  </si>
  <si>
    <t>TG Flutter</t>
  </si>
  <si>
    <t>TG Leakage</t>
  </si>
  <si>
    <t>No DB1 @Perc</t>
  </si>
  <si>
    <t>Perc Long Time</t>
  </si>
  <si>
    <t>Perc Short Time</t>
  </si>
  <si>
    <t>Bypass</t>
  </si>
  <si>
    <t>Bass Level</t>
  </si>
  <si>
    <t>Bass Equ Frq</t>
  </si>
  <si>
    <t>Mid Level</t>
  </si>
  <si>
    <t>Mid Equ Q</t>
  </si>
  <si>
    <t>Bass Equ Q</t>
  </si>
  <si>
    <t>Parametr B/T</t>
  </si>
  <si>
    <t>Treb Equ Q</t>
  </si>
  <si>
    <t>Treb Equ Frq</t>
  </si>
  <si>
    <t>pot</t>
  </si>
  <si>
    <t>halfmoon</t>
  </si>
  <si>
    <t>speaker</t>
  </si>
  <si>
    <t>organ</t>
  </si>
  <si>
    <t>waveset</t>
  </si>
  <si>
    <t>tapering</t>
  </si>
  <si>
    <t>Extd requ'd</t>
  </si>
  <si>
    <t>Cont SpringFlx</t>
  </si>
  <si>
    <t>Cont SpringDmp</t>
  </si>
  <si>
    <t>Percussion</t>
  </si>
  <si>
    <t>vibknob</t>
  </si>
  <si>
    <t>Länge zur Kontrolle</t>
  </si>
  <si>
    <t>gating</t>
  </si>
  <si>
    <t>GM Level 1</t>
  </si>
  <si>
    <t>GM Level 2</t>
  </si>
  <si>
    <t>Perc Norm Level</t>
  </si>
  <si>
    <t>Perc Soft Level</t>
  </si>
  <si>
    <t xml:space="preserve">Reverb 1 Level </t>
  </si>
  <si>
    <t xml:space="preserve">Reverb 2 Level </t>
  </si>
  <si>
    <t xml:space="preserve">Reverb 3 Level </t>
  </si>
  <si>
    <t>Rotary Balance</t>
  </si>
  <si>
    <t>WiFi Mode</t>
  </si>
  <si>
    <t>wifimode</t>
  </si>
  <si>
    <t>saveWifi</t>
  </si>
  <si>
    <t>preset</t>
  </si>
  <si>
    <t>midicc</t>
  </si>
  <si>
    <t>saveUpper</t>
  </si>
  <si>
    <t>saveLower</t>
  </si>
  <si>
    <t>savePedal</t>
  </si>
  <si>
    <t>saveOrgan</t>
  </si>
  <si>
    <t>saveSpeaker</t>
  </si>
  <si>
    <t>saveDefaults</t>
  </si>
  <si>
    <t>enterPresetName</t>
  </si>
  <si>
    <t>Organ</t>
  </si>
  <si>
    <t>Speaker</t>
  </si>
  <si>
    <t>Amp Bypass</t>
  </si>
  <si>
    <t>Separate Pedal</t>
  </si>
  <si>
    <t>PHR On Upper</t>
  </si>
  <si>
    <t>PHR On Lower</t>
  </si>
  <si>
    <t>PHR Knob</t>
  </si>
  <si>
    <t>phrknob</t>
  </si>
  <si>
    <t>Drawbar 16H</t>
  </si>
  <si>
    <t>Drawbar 8H</t>
  </si>
  <si>
    <t>Keybd Setup</t>
  </si>
  <si>
    <t>Upper Level</t>
  </si>
  <si>
    <t>Lower Level</t>
  </si>
  <si>
    <t>Pedal Level</t>
  </si>
  <si>
    <t>Perc Level</t>
  </si>
  <si>
    <t>Settings</t>
  </si>
  <si>
    <t>Preset Init</t>
  </si>
  <si>
    <t>Preset Name</t>
  </si>
  <si>
    <t>Lower GM</t>
  </si>
  <si>
    <t>Pedal GM</t>
  </si>
  <si>
    <t>Upper GM</t>
  </si>
  <si>
    <t>midich</t>
  </si>
  <si>
    <t>enterScreenSaver</t>
  </si>
  <si>
    <t>LED Dimmer</t>
  </si>
  <si>
    <t>Screen Saver</t>
  </si>
  <si>
    <t>SD Card Update</t>
  </si>
  <si>
    <t>bootloaderCmd</t>
  </si>
  <si>
    <t>Failsafe FW</t>
  </si>
  <si>
    <t>Failsafe FPGA</t>
  </si>
  <si>
    <t>Exit Bootload</t>
  </si>
  <si>
    <t>Board Info</t>
  </si>
  <si>
    <t>Zuweisung timeoutAction</t>
  </si>
  <si>
    <t>timeout Action</t>
  </si>
  <si>
    <t>enter Action</t>
  </si>
  <si>
    <t>requestBoardInfo</t>
  </si>
  <si>
    <t>Start USB DFU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</si>
</sst>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Lucida Console"/>
      <family val="3"/>
    </font>
    <font>
      <sz val="10"/>
      <color rgb="FFFF0000"/>
      <name val="Lucida Console"/>
      <family val="3"/>
    </font>
    <font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0"/>
      <color rgb="FF0070C0"/>
      <name val="Lucida Console"/>
      <family val="3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theme="0"/>
      <name val="Lucida Console"/>
      <family val="3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7" fillId="0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8" fillId="7" borderId="0" xfId="0" applyFont="1" applyFill="1" applyAlignment="1">
      <alignment horizontal="left"/>
    </xf>
    <xf numFmtId="0" fontId="5" fillId="0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7" fillId="0" borderId="0" xfId="0" applyNumberFormat="1" applyFont="1" applyFill="1" applyAlignment="1">
      <alignment horizontal="left" vertical="top" wrapText="1"/>
    </xf>
    <xf numFmtId="49" fontId="10" fillId="0" borderId="0" xfId="0" applyNumberFormat="1" applyFont="1" applyFill="1" applyAlignment="1">
      <alignment horizontal="left" vertical="top" wrapText="1"/>
    </xf>
    <xf numFmtId="0" fontId="11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9" fillId="0" borderId="0" xfId="0" applyFont="1" applyFill="1" applyAlignment="1">
      <alignment horizontal="left"/>
    </xf>
    <xf numFmtId="0" fontId="10" fillId="0" borderId="0" xfId="0" applyFont="1" applyFill="1" applyAlignment="1">
      <alignment horizontal="left"/>
    </xf>
    <xf numFmtId="49" fontId="7" fillId="6" borderId="0" xfId="0" applyNumberFormat="1" applyFont="1" applyFill="1" applyAlignment="1">
      <alignment horizontal="left" vertical="top" wrapText="1"/>
    </xf>
    <xf numFmtId="49" fontId="12" fillId="7" borderId="0" xfId="0" applyNumberFormat="1" applyFont="1" applyFill="1" applyAlignment="1">
      <alignment horizontal="left" vertical="top" wrapText="1"/>
    </xf>
    <xf numFmtId="0" fontId="1" fillId="0" borderId="0" xfId="0" applyFont="1" applyAlignment="1">
      <alignment horizontal="left" wrapText="1"/>
    </xf>
    <xf numFmtId="49" fontId="0" fillId="0" borderId="0" xfId="0" applyNumberFormat="1" applyFont="1" applyAlignment="1">
      <alignment horizontal="left" vertical="top" wrapText="1"/>
    </xf>
    <xf numFmtId="0" fontId="3" fillId="9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11" borderId="0" xfId="0" applyFont="1" applyFill="1" applyAlignment="1">
      <alignment horizontal="left"/>
    </xf>
    <xf numFmtId="0" fontId="3" fillId="12" borderId="0" xfId="0" applyFont="1" applyFill="1" applyAlignment="1">
      <alignment horizontal="left"/>
    </xf>
    <xf numFmtId="0" fontId="3" fillId="13" borderId="0" xfId="0" applyFont="1" applyFill="1" applyAlignment="1">
      <alignment horizontal="left"/>
    </xf>
    <xf numFmtId="0" fontId="3" fillId="10" borderId="0" xfId="0" applyFont="1" applyFill="1" applyAlignment="1">
      <alignment horizontal="left"/>
    </xf>
    <xf numFmtId="0" fontId="3" fillId="14" borderId="0" xfId="0" applyFont="1" applyFill="1" applyAlignment="1">
      <alignment horizontal="left"/>
    </xf>
    <xf numFmtId="0" fontId="13" fillId="4" borderId="0" xfId="0" applyFont="1" applyFill="1" applyAlignment="1">
      <alignment horizontal="left"/>
    </xf>
    <xf numFmtId="0" fontId="13" fillId="5" borderId="0" xfId="0" applyFont="1" applyFill="1" applyAlignment="1">
      <alignment horizontal="left"/>
    </xf>
    <xf numFmtId="0" fontId="13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12" fillId="0" borderId="0" xfId="0" applyFont="1" applyFill="1" applyAlignment="1">
      <alignment horizontal="left"/>
    </xf>
    <xf numFmtId="49" fontId="9" fillId="0" borderId="0" xfId="0" applyNumberFormat="1" applyFont="1" applyFill="1" applyAlignment="1">
      <alignment horizontal="left" vertical="top" wrapText="1"/>
    </xf>
    <xf numFmtId="0" fontId="3" fillId="15" borderId="0" xfId="0" applyFont="1" applyFill="1" applyAlignment="1">
      <alignment horizontal="left"/>
    </xf>
    <xf numFmtId="0" fontId="3" fillId="17" borderId="0" xfId="0" applyFont="1" applyFill="1" applyAlignment="1">
      <alignment horizontal="left"/>
    </xf>
    <xf numFmtId="0" fontId="3" fillId="18" borderId="0" xfId="0" applyFont="1" applyFill="1" applyAlignment="1">
      <alignment horizontal="left"/>
    </xf>
    <xf numFmtId="0" fontId="16" fillId="16" borderId="0" xfId="0" applyFont="1" applyFill="1" applyAlignment="1">
      <alignment horizontal="left"/>
    </xf>
    <xf numFmtId="0" fontId="7" fillId="2" borderId="0" xfId="0" applyNumberFormat="1" applyFont="1" applyFill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CCFF66"/>
      <color rgb="FFCCFF99"/>
      <color rgb="FF66FFFF"/>
      <color rgb="FFFF99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17"/>
  <sheetViews>
    <sheetView tabSelected="1" topLeftCell="C1" zoomScaleNormal="100" workbookViewId="0">
      <pane ySplit="21" topLeftCell="A161" activePane="bottomLeft" state="frozen"/>
      <selection pane="bottomLeft" activeCell="Q1" sqref="Q1:Q1048576"/>
    </sheetView>
  </sheetViews>
  <sheetFormatPr baseColWidth="10" defaultRowHeight="15" x14ac:dyDescent="0.25"/>
  <cols>
    <col min="1" max="1" width="7.140625" style="20" customWidth="1"/>
    <col min="2" max="2" width="16.7109375" style="7" customWidth="1"/>
    <col min="3" max="4" width="9.7109375" style="7" customWidth="1"/>
    <col min="5" max="5" width="11.85546875" style="7" customWidth="1"/>
    <col min="6" max="8" width="7.140625" style="7" customWidth="1"/>
    <col min="9" max="9" width="9" style="7" customWidth="1"/>
    <col min="10" max="12" width="13.7109375" style="5" customWidth="1"/>
    <col min="13" max="13" width="21.28515625" style="7" customWidth="1"/>
    <col min="14" max="15" width="12.85546875" style="1" customWidth="1"/>
    <col min="16" max="16" width="13.140625" style="1" customWidth="1"/>
    <col min="17" max="17" width="94.28515625" style="7" customWidth="1"/>
    <col min="18" max="18" width="32.140625" style="3" customWidth="1"/>
    <col min="19" max="16384" width="11.42578125" style="3"/>
  </cols>
  <sheetData>
    <row r="1" spans="1:18" s="24" customFormat="1" ht="33" customHeight="1" x14ac:dyDescent="0.25">
      <c r="A1" s="15" t="s">
        <v>0</v>
      </c>
      <c r="B1" s="14" t="s">
        <v>5</v>
      </c>
      <c r="C1" s="14" t="s">
        <v>45</v>
      </c>
      <c r="D1" s="14" t="s">
        <v>46</v>
      </c>
      <c r="E1" s="41" t="s">
        <v>149</v>
      </c>
      <c r="F1" s="14" t="s">
        <v>3</v>
      </c>
      <c r="G1" s="14" t="s">
        <v>4</v>
      </c>
      <c r="H1" s="14" t="s">
        <v>144</v>
      </c>
      <c r="I1" s="14" t="s">
        <v>43</v>
      </c>
      <c r="J1" s="21" t="s">
        <v>42</v>
      </c>
      <c r="K1" s="21" t="s">
        <v>44</v>
      </c>
      <c r="L1" s="21" t="s">
        <v>202</v>
      </c>
      <c r="M1" s="22" t="s">
        <v>9</v>
      </c>
      <c r="N1" s="22" t="s">
        <v>204</v>
      </c>
      <c r="O1" s="22" t="s">
        <v>203</v>
      </c>
      <c r="P1" s="22" t="s">
        <v>23</v>
      </c>
      <c r="Q1" s="46" t="str">
        <f>CONCATENATE("const menuEntryType MenuItems[",A213,"] PROGMEM = { ")</f>
        <v xml:space="preserve">const menuEntryType MenuItems[211] PROGMEM = { </v>
      </c>
      <c r="R1" s="23"/>
    </row>
    <row r="2" spans="1:18" x14ac:dyDescent="0.25">
      <c r="A2" s="16">
        <v>0</v>
      </c>
      <c r="B2" s="43" t="s">
        <v>20</v>
      </c>
      <c r="C2" s="17">
        <f>A202</f>
        <v>200</v>
      </c>
      <c r="D2" s="17">
        <f>A203</f>
        <v>201</v>
      </c>
      <c r="E2" s="40">
        <f>D2-C2+1</f>
        <v>2</v>
      </c>
      <c r="F2" s="7">
        <v>0</v>
      </c>
      <c r="G2" s="7">
        <v>99</v>
      </c>
      <c r="H2" s="7">
        <v>0</v>
      </c>
      <c r="I2" s="7">
        <v>268</v>
      </c>
      <c r="J2" s="7" t="s">
        <v>162</v>
      </c>
      <c r="K2" s="7" t="s">
        <v>8</v>
      </c>
      <c r="L2" s="7" t="s">
        <v>27</v>
      </c>
      <c r="M2" s="11" t="str">
        <f>CONCATENATE("""",B2,""", ")</f>
        <v xml:space="preserve">"Preset", </v>
      </c>
      <c r="N2" s="11" t="str">
        <f>IF(K2="NULL",CONCATENATE(K2,", "),CONCATENATE("&amp;",K2,", "))</f>
        <v xml:space="preserve">NULL, </v>
      </c>
      <c r="O2" s="11" t="str">
        <f>IF(L2="NULL",CONCATENATE(L2,", "),CONCATENATE("&amp;",L2,", "))</f>
        <v xml:space="preserve">&amp;savePreset, </v>
      </c>
      <c r="P2" s="11" t="str">
        <f>IF(J2="NULL",CONCATENATE(J2,", "),CONCATENATE("tm_",J2,", "))</f>
        <v xml:space="preserve">tm_preset, </v>
      </c>
      <c r="Q2" s="10" t="str">
        <f>CONCATENATE("  {",M2,C2,", ",D2,", ",I2,", ",N2,O2,P2,F2,", ",G2,", ",H2,"},  // Idx ", A2)</f>
        <v xml:space="preserve">  {"Preset", 200, 201, 268, NULL, &amp;savePreset, tm_preset, 0, 99, 0},  // Idx 0</v>
      </c>
      <c r="R2" s="6"/>
    </row>
    <row r="3" spans="1:18" x14ac:dyDescent="0.25">
      <c r="A3" s="16">
        <f>A2+1</f>
        <v>1</v>
      </c>
      <c r="B3" s="28" t="s">
        <v>11</v>
      </c>
      <c r="C3" s="17">
        <f>A28</f>
        <v>26</v>
      </c>
      <c r="D3" s="17">
        <f>A39</f>
        <v>37</v>
      </c>
      <c r="E3" s="40">
        <f t="shared" ref="E3:E20" si="0">D3-C3+1</f>
        <v>12</v>
      </c>
      <c r="F3" s="3">
        <v>0</v>
      </c>
      <c r="G3" s="7">
        <v>15</v>
      </c>
      <c r="H3" s="7">
        <v>0</v>
      </c>
      <c r="I3" s="7">
        <v>269</v>
      </c>
      <c r="J3" s="7" t="s">
        <v>24</v>
      </c>
      <c r="K3" s="7" t="s">
        <v>8</v>
      </c>
      <c r="L3" s="7" t="s">
        <v>164</v>
      </c>
      <c r="M3" s="11" t="str">
        <f t="shared" ref="M3:M11" si="1">CONCATENATE("""",B3,""", ")</f>
        <v xml:space="preserve">"Upper Voice", </v>
      </c>
      <c r="N3" s="11" t="str">
        <f t="shared" ref="N3:N11" si="2">IF(K3="NULL",CONCATENATE(K3,", "),CONCATENATE("&amp;",K3,", "))</f>
        <v xml:space="preserve">NULL, </v>
      </c>
      <c r="O3" s="11" t="str">
        <f t="shared" ref="O3:O66" si="3">IF(L3="NULL",CONCATENATE(L3,", "),CONCATENATE("&amp;",L3,", "))</f>
        <v xml:space="preserve">&amp;saveUpper, </v>
      </c>
      <c r="P3" s="11" t="str">
        <f t="shared" ref="P3:P34" si="4">IF(J3="NULL",CONCATENATE(J3,", "),CONCATENATE("tm_",J3,", "))</f>
        <v xml:space="preserve">tm_numeric, </v>
      </c>
      <c r="Q3" s="10" t="str">
        <f t="shared" ref="Q3:Q66" si="5">CONCATENATE("  {",M3,C3,", ",D3,", ",I3,", ",N3,O3,P3,F3,", ",G3,", ",H3,"},  // Idx ", A3)</f>
        <v xml:space="preserve">  {"Upper Voice", 26, 37, 269, NULL, &amp;saveUpper, tm_numeric, 0, 15, 0},  // Idx 1</v>
      </c>
      <c r="R3" s="6"/>
    </row>
    <row r="4" spans="1:18" x14ac:dyDescent="0.25">
      <c r="A4" s="16">
        <f t="shared" ref="A4:A22" si="6">A3+1</f>
        <v>2</v>
      </c>
      <c r="B4" s="9" t="s">
        <v>12</v>
      </c>
      <c r="C4" s="17">
        <f>A76</f>
        <v>74</v>
      </c>
      <c r="D4" s="17">
        <f>A87</f>
        <v>85</v>
      </c>
      <c r="E4" s="40">
        <f>D4-C4+1</f>
        <v>12</v>
      </c>
      <c r="F4" s="3">
        <v>0</v>
      </c>
      <c r="G4" s="7">
        <v>15</v>
      </c>
      <c r="H4" s="7">
        <v>0</v>
      </c>
      <c r="I4" s="7">
        <v>270</v>
      </c>
      <c r="J4" s="7" t="s">
        <v>24</v>
      </c>
      <c r="K4" s="7" t="s">
        <v>8</v>
      </c>
      <c r="L4" s="7" t="s">
        <v>165</v>
      </c>
      <c r="M4" s="11" t="str">
        <f t="shared" si="1"/>
        <v xml:space="preserve">"Lower Voice", </v>
      </c>
      <c r="N4" s="11" t="str">
        <f t="shared" si="2"/>
        <v xml:space="preserve">NULL, </v>
      </c>
      <c r="O4" s="11" t="str">
        <f t="shared" si="3"/>
        <v xml:space="preserve">&amp;saveLower, </v>
      </c>
      <c r="P4" s="11" t="str">
        <f t="shared" si="4"/>
        <v xml:space="preserve">tm_numeric, </v>
      </c>
      <c r="Q4" s="10" t="str">
        <f t="shared" si="5"/>
        <v xml:space="preserve">  {"Lower Voice", 74, 85, 270, NULL, &amp;saveLower, tm_numeric, 0, 15, 0},  // Idx 2</v>
      </c>
      <c r="R4" s="6"/>
    </row>
    <row r="5" spans="1:18" x14ac:dyDescent="0.25">
      <c r="A5" s="16">
        <f t="shared" si="6"/>
        <v>3</v>
      </c>
      <c r="B5" s="26" t="s">
        <v>13</v>
      </c>
      <c r="C5" s="17">
        <f>A112</f>
        <v>110</v>
      </c>
      <c r="D5" s="17">
        <f>A116</f>
        <v>114</v>
      </c>
      <c r="E5" s="40">
        <f>D5-C5+1</f>
        <v>5</v>
      </c>
      <c r="F5" s="3">
        <v>0</v>
      </c>
      <c r="G5" s="7">
        <v>15</v>
      </c>
      <c r="H5" s="7">
        <v>0</v>
      </c>
      <c r="I5" s="7">
        <v>271</v>
      </c>
      <c r="J5" s="7" t="s">
        <v>24</v>
      </c>
      <c r="K5" s="7" t="s">
        <v>8</v>
      </c>
      <c r="L5" s="7" t="s">
        <v>166</v>
      </c>
      <c r="M5" s="11" t="str">
        <f t="shared" si="1"/>
        <v xml:space="preserve">"Pedal Voice", </v>
      </c>
      <c r="N5" s="11" t="str">
        <f t="shared" si="2"/>
        <v xml:space="preserve">NULL, </v>
      </c>
      <c r="O5" s="11" t="str">
        <f t="shared" si="3"/>
        <v xml:space="preserve">&amp;savePedal, </v>
      </c>
      <c r="P5" s="11" t="str">
        <f t="shared" si="4"/>
        <v xml:space="preserve">tm_numeric, </v>
      </c>
      <c r="Q5" s="10" t="str">
        <f t="shared" si="5"/>
        <v xml:space="preserve">  {"Pedal Voice", 110, 114, 271, NULL, &amp;savePedal, tm_numeric, 0, 15, 0},  // Idx 3</v>
      </c>
      <c r="R5" s="6"/>
    </row>
    <row r="6" spans="1:18" x14ac:dyDescent="0.25">
      <c r="A6" s="16">
        <f t="shared" si="6"/>
        <v>4</v>
      </c>
      <c r="B6" s="27" t="s">
        <v>21</v>
      </c>
      <c r="C6" s="17">
        <f>A129</f>
        <v>127</v>
      </c>
      <c r="D6" s="17">
        <f>A140</f>
        <v>138</v>
      </c>
      <c r="E6" s="40">
        <f>D6-C6+1</f>
        <v>12</v>
      </c>
      <c r="F6" s="7">
        <v>-1</v>
      </c>
      <c r="G6" s="18">
        <v>-1</v>
      </c>
      <c r="H6" s="7">
        <v>0</v>
      </c>
      <c r="I6" s="18">
        <v>-1</v>
      </c>
      <c r="J6" s="18" t="s">
        <v>22</v>
      </c>
      <c r="K6" s="7" t="s">
        <v>8</v>
      </c>
      <c r="L6" s="7" t="s">
        <v>8</v>
      </c>
      <c r="M6" s="11" t="str">
        <f t="shared" si="1"/>
        <v xml:space="preserve">"Tabs", </v>
      </c>
      <c r="N6" s="11" t="str">
        <f t="shared" si="2"/>
        <v xml:space="preserve">NULL, </v>
      </c>
      <c r="O6" s="11" t="str">
        <f t="shared" si="3"/>
        <v xml:space="preserve">NULL, </v>
      </c>
      <c r="P6" s="11" t="str">
        <f t="shared" si="4"/>
        <v xml:space="preserve">tm_none, </v>
      </c>
      <c r="Q6" s="10" t="str">
        <f t="shared" si="5"/>
        <v xml:space="preserve">  {"Tabs", 127, 138, -1, NULL, NULL, tm_none, -1, -1, 0},  // Idx 4</v>
      </c>
      <c r="R6" s="6"/>
    </row>
    <row r="7" spans="1:18" x14ac:dyDescent="0.25">
      <c r="A7" s="16">
        <f t="shared" si="6"/>
        <v>5</v>
      </c>
      <c r="B7" s="8" t="s">
        <v>37</v>
      </c>
      <c r="C7" s="13">
        <f>A24</f>
        <v>22</v>
      </c>
      <c r="D7" s="13">
        <f>A26</f>
        <v>24</v>
      </c>
      <c r="E7" s="40">
        <f t="shared" si="0"/>
        <v>3</v>
      </c>
      <c r="F7" s="3">
        <v>0</v>
      </c>
      <c r="G7" s="3">
        <v>2</v>
      </c>
      <c r="H7" s="7">
        <v>0</v>
      </c>
      <c r="I7" s="7">
        <v>256</v>
      </c>
      <c r="J7" s="7" t="s">
        <v>139</v>
      </c>
      <c r="K7" s="7" t="s">
        <v>8</v>
      </c>
      <c r="L7" s="7" t="s">
        <v>8</v>
      </c>
      <c r="M7" s="11" t="str">
        <f t="shared" si="1"/>
        <v xml:space="preserve">"Rotary Speed", </v>
      </c>
      <c r="N7" s="11" t="str">
        <f t="shared" si="2"/>
        <v xml:space="preserve">NULL, </v>
      </c>
      <c r="O7" s="11" t="str">
        <f t="shared" si="3"/>
        <v xml:space="preserve">NULL, </v>
      </c>
      <c r="P7" s="11" t="str">
        <f t="shared" si="4"/>
        <v xml:space="preserve">tm_halfmoon, </v>
      </c>
      <c r="Q7" s="10" t="str">
        <f t="shared" si="5"/>
        <v xml:space="preserve">  {"Rotary Speed", 22, 24, 256, NULL, NULL, tm_halfmoon, 0, 2, 0},  // Idx 5</v>
      </c>
      <c r="R7" s="6"/>
    </row>
    <row r="8" spans="1:18" x14ac:dyDescent="0.25">
      <c r="A8" s="16">
        <f t="shared" si="6"/>
        <v>6</v>
      </c>
      <c r="B8" s="25" t="s">
        <v>6</v>
      </c>
      <c r="C8" s="13">
        <f>A22</f>
        <v>20</v>
      </c>
      <c r="D8" s="13">
        <f>A23</f>
        <v>21</v>
      </c>
      <c r="E8" s="40">
        <f t="shared" si="0"/>
        <v>2</v>
      </c>
      <c r="F8" s="3">
        <v>0</v>
      </c>
      <c r="G8" s="3">
        <v>127</v>
      </c>
      <c r="H8" s="7">
        <v>0</v>
      </c>
      <c r="I8" s="5">
        <v>80</v>
      </c>
      <c r="J8" s="7" t="s">
        <v>138</v>
      </c>
      <c r="K8" s="7" t="s">
        <v>8</v>
      </c>
      <c r="L8" s="7" t="s">
        <v>8</v>
      </c>
      <c r="M8" s="11" t="str">
        <f t="shared" si="1"/>
        <v xml:space="preserve">"Master Volume", </v>
      </c>
      <c r="N8" s="11" t="str">
        <f t="shared" si="2"/>
        <v xml:space="preserve">NULL, </v>
      </c>
      <c r="O8" s="11" t="str">
        <f t="shared" si="3"/>
        <v xml:space="preserve">NULL, </v>
      </c>
      <c r="P8" s="11" t="str">
        <f t="shared" si="4"/>
        <v xml:space="preserve">tm_pot, </v>
      </c>
      <c r="Q8" s="10" t="str">
        <f t="shared" si="5"/>
        <v xml:space="preserve">  {"Master Volume", 20, 21, 80, NULL, NULL, tm_pot, 0, 127, 0},  // Idx 6</v>
      </c>
      <c r="R8" s="6"/>
    </row>
    <row r="9" spans="1:18" x14ac:dyDescent="0.25">
      <c r="A9" s="16">
        <f t="shared" si="6"/>
        <v>7</v>
      </c>
      <c r="B9" s="42" t="s">
        <v>7</v>
      </c>
      <c r="C9" s="13">
        <f>A27</f>
        <v>25</v>
      </c>
      <c r="D9" s="13">
        <f>A27</f>
        <v>25</v>
      </c>
      <c r="E9" s="40">
        <f t="shared" si="0"/>
        <v>1</v>
      </c>
      <c r="F9" s="3">
        <v>0</v>
      </c>
      <c r="G9" s="3">
        <v>127</v>
      </c>
      <c r="H9" s="7">
        <v>0</v>
      </c>
      <c r="I9" s="5">
        <v>81</v>
      </c>
      <c r="J9" s="7" t="s">
        <v>138</v>
      </c>
      <c r="K9" s="7" t="s">
        <v>8</v>
      </c>
      <c r="L9" s="7" t="s">
        <v>8</v>
      </c>
      <c r="M9" s="11" t="str">
        <f t="shared" si="1"/>
        <v xml:space="preserve">"Amp Gain", </v>
      </c>
      <c r="N9" s="11" t="str">
        <f t="shared" si="2"/>
        <v xml:space="preserve">NULL, </v>
      </c>
      <c r="O9" s="11" t="str">
        <f t="shared" si="3"/>
        <v xml:space="preserve">NULL, </v>
      </c>
      <c r="P9" s="11" t="str">
        <f t="shared" si="4"/>
        <v xml:space="preserve">tm_pot, </v>
      </c>
      <c r="Q9" s="10" t="str">
        <f t="shared" si="5"/>
        <v xml:space="preserve">  {"Amp Gain", 25, 25, 81, NULL, NULL, tm_pot, 0, 127, 0},  // Idx 7</v>
      </c>
      <c r="R9" s="6"/>
    </row>
    <row r="10" spans="1:18" x14ac:dyDescent="0.25">
      <c r="A10" s="16">
        <f t="shared" si="6"/>
        <v>8</v>
      </c>
      <c r="B10" s="33" t="s">
        <v>39</v>
      </c>
      <c r="C10" s="13">
        <f>A163</f>
        <v>161</v>
      </c>
      <c r="D10" s="13">
        <f>A165</f>
        <v>163</v>
      </c>
      <c r="E10" s="40">
        <f t="shared" ref="E10:E17" si="7">D10-C10+1</f>
        <v>3</v>
      </c>
      <c r="F10" s="3">
        <v>0</v>
      </c>
      <c r="G10" s="3">
        <v>3</v>
      </c>
      <c r="H10" s="7">
        <v>0</v>
      </c>
      <c r="I10" s="5">
        <v>263</v>
      </c>
      <c r="J10" s="7" t="s">
        <v>24</v>
      </c>
      <c r="K10" s="7" t="s">
        <v>8</v>
      </c>
      <c r="L10" s="7" t="s">
        <v>8</v>
      </c>
      <c r="M10" s="11" t="str">
        <f t="shared" si="1"/>
        <v xml:space="preserve">"Reverb Prgm", </v>
      </c>
      <c r="N10" s="11" t="str">
        <f t="shared" si="2"/>
        <v xml:space="preserve">NULL, </v>
      </c>
      <c r="O10" s="11" t="str">
        <f t="shared" si="3"/>
        <v xml:space="preserve">NULL, </v>
      </c>
      <c r="P10" s="11" t="str">
        <f t="shared" si="4"/>
        <v xml:space="preserve">tm_numeric, </v>
      </c>
      <c r="Q10" s="10" t="str">
        <f t="shared" si="5"/>
        <v xml:space="preserve">  {"Reverb Prgm", 161, 163, 263, NULL, NULL, tm_numeric, 0, 3, 0},  // Idx 8</v>
      </c>
      <c r="R10" s="6"/>
    </row>
    <row r="11" spans="1:18" x14ac:dyDescent="0.25">
      <c r="A11" s="16">
        <f t="shared" si="6"/>
        <v>9</v>
      </c>
      <c r="B11" s="31" t="s">
        <v>48</v>
      </c>
      <c r="C11" s="17">
        <f>A166</f>
        <v>164</v>
      </c>
      <c r="D11" s="17">
        <f>A176</f>
        <v>174</v>
      </c>
      <c r="E11" s="40">
        <f t="shared" si="7"/>
        <v>11</v>
      </c>
      <c r="F11" s="7">
        <v>-1</v>
      </c>
      <c r="G11" s="18">
        <v>-1</v>
      </c>
      <c r="H11" s="7">
        <v>0</v>
      </c>
      <c r="I11" s="18">
        <v>-1</v>
      </c>
      <c r="J11" s="18" t="s">
        <v>22</v>
      </c>
      <c r="K11" s="18" t="s">
        <v>8</v>
      </c>
      <c r="L11" s="7" t="s">
        <v>8</v>
      </c>
      <c r="M11" s="11" t="str">
        <f t="shared" si="1"/>
        <v xml:space="preserve">"Equalizer", </v>
      </c>
      <c r="N11" s="11" t="str">
        <f t="shared" si="2"/>
        <v xml:space="preserve">NULL, </v>
      </c>
      <c r="O11" s="11" t="str">
        <f t="shared" si="3"/>
        <v xml:space="preserve">NULL, </v>
      </c>
      <c r="P11" s="11" t="str">
        <f t="shared" si="4"/>
        <v xml:space="preserve">tm_none, </v>
      </c>
      <c r="Q11" s="10" t="str">
        <f t="shared" si="5"/>
        <v xml:space="preserve">  {"Equalizer", 164, 174, -1, NULL, NULL, tm_none, -1, -1, 0},  // Idx 9</v>
      </c>
      <c r="R11" s="6"/>
    </row>
    <row r="12" spans="1:18" x14ac:dyDescent="0.25">
      <c r="A12" s="16">
        <f t="shared" si="6"/>
        <v>10</v>
      </c>
      <c r="B12" s="28" t="s">
        <v>79</v>
      </c>
      <c r="C12" s="17">
        <f>A47</f>
        <v>45</v>
      </c>
      <c r="D12" s="17">
        <f>A75</f>
        <v>73</v>
      </c>
      <c r="E12" s="40">
        <f t="shared" si="7"/>
        <v>29</v>
      </c>
      <c r="F12" s="7">
        <v>-1</v>
      </c>
      <c r="G12" s="18">
        <v>-1</v>
      </c>
      <c r="H12" s="7">
        <v>1</v>
      </c>
      <c r="I12" s="18">
        <v>-1</v>
      </c>
      <c r="J12" s="18" t="s">
        <v>22</v>
      </c>
      <c r="K12" s="7" t="s">
        <v>8</v>
      </c>
      <c r="L12" s="7" t="s">
        <v>8</v>
      </c>
      <c r="M12" s="11" t="str">
        <f t="shared" ref="M12:M17" si="8">CONCATENATE("""",B12,""", ")</f>
        <v xml:space="preserve">"Upper ADSR", </v>
      </c>
      <c r="N12" s="11" t="str">
        <f t="shared" ref="N12:N17" si="9">IF(K12="NULL",CONCATENATE(K12,", "),CONCATENATE("&amp;",K12,", "))</f>
        <v xml:space="preserve">NULL, </v>
      </c>
      <c r="O12" s="11" t="str">
        <f t="shared" si="3"/>
        <v xml:space="preserve">NULL, </v>
      </c>
      <c r="P12" s="11" t="str">
        <f t="shared" si="4"/>
        <v xml:space="preserve">tm_none, </v>
      </c>
      <c r="Q12" s="10" t="str">
        <f t="shared" si="5"/>
        <v xml:space="preserve">  {"Upper ADSR", 45, 73, -1, NULL, NULL, tm_none, -1, -1, 1},  // Idx 10</v>
      </c>
      <c r="R12" s="6"/>
    </row>
    <row r="13" spans="1:18" x14ac:dyDescent="0.25">
      <c r="A13" s="16">
        <f t="shared" si="6"/>
        <v>11</v>
      </c>
      <c r="B13" s="28" t="s">
        <v>191</v>
      </c>
      <c r="C13" s="17">
        <f>A40</f>
        <v>38</v>
      </c>
      <c r="D13" s="17">
        <f>A46</f>
        <v>44</v>
      </c>
      <c r="E13" s="40">
        <f t="shared" si="7"/>
        <v>7</v>
      </c>
      <c r="F13" s="7">
        <v>-1</v>
      </c>
      <c r="G13" s="18">
        <v>-1</v>
      </c>
      <c r="H13" s="7">
        <v>0</v>
      </c>
      <c r="I13" s="18">
        <v>-1</v>
      </c>
      <c r="J13" s="18" t="s">
        <v>22</v>
      </c>
      <c r="K13" s="7" t="s">
        <v>8</v>
      </c>
      <c r="L13" s="7" t="s">
        <v>8</v>
      </c>
      <c r="M13" s="11" t="str">
        <f t="shared" si="8"/>
        <v xml:space="preserve">"Upper GM", </v>
      </c>
      <c r="N13" s="11" t="str">
        <f t="shared" si="9"/>
        <v xml:space="preserve">NULL, </v>
      </c>
      <c r="O13" s="11" t="str">
        <f t="shared" si="3"/>
        <v xml:space="preserve">NULL, </v>
      </c>
      <c r="P13" s="11" t="str">
        <f t="shared" si="4"/>
        <v xml:space="preserve">tm_none, </v>
      </c>
      <c r="Q13" s="10" t="str">
        <f t="shared" si="5"/>
        <v xml:space="preserve">  {"Upper GM", 38, 44, -1, NULL, NULL, tm_none, -1, -1, 0},  // Idx 11</v>
      </c>
      <c r="R13" s="6"/>
    </row>
    <row r="14" spans="1:18" x14ac:dyDescent="0.25">
      <c r="A14" s="16">
        <f t="shared" si="6"/>
        <v>12</v>
      </c>
      <c r="B14" s="9" t="s">
        <v>80</v>
      </c>
      <c r="C14" s="17">
        <f>A95</f>
        <v>93</v>
      </c>
      <c r="D14" s="17">
        <f>A111</f>
        <v>109</v>
      </c>
      <c r="E14" s="40">
        <f t="shared" si="7"/>
        <v>17</v>
      </c>
      <c r="F14" s="7">
        <v>-1</v>
      </c>
      <c r="G14" s="18">
        <v>-1</v>
      </c>
      <c r="H14" s="7">
        <v>1</v>
      </c>
      <c r="I14" s="18">
        <v>-1</v>
      </c>
      <c r="J14" s="18" t="s">
        <v>22</v>
      </c>
      <c r="K14" s="7" t="s">
        <v>8</v>
      </c>
      <c r="L14" s="7" t="s">
        <v>8</v>
      </c>
      <c r="M14" s="11" t="str">
        <f t="shared" si="8"/>
        <v xml:space="preserve">"Lower ADSR", </v>
      </c>
      <c r="N14" s="11" t="str">
        <f t="shared" si="9"/>
        <v xml:space="preserve">NULL, </v>
      </c>
      <c r="O14" s="11" t="str">
        <f t="shared" si="3"/>
        <v xml:space="preserve">NULL, </v>
      </c>
      <c r="P14" s="11" t="str">
        <f t="shared" si="4"/>
        <v xml:space="preserve">tm_none, </v>
      </c>
      <c r="Q14" s="10" t="str">
        <f t="shared" si="5"/>
        <v xml:space="preserve">  {"Lower ADSR", 93, 109, -1, NULL, NULL, tm_none, -1, -1, 1},  // Idx 12</v>
      </c>
      <c r="R14" s="6"/>
    </row>
    <row r="15" spans="1:18" x14ac:dyDescent="0.25">
      <c r="A15" s="16">
        <f t="shared" si="6"/>
        <v>13</v>
      </c>
      <c r="B15" s="9" t="s">
        <v>189</v>
      </c>
      <c r="C15" s="17">
        <f>A88</f>
        <v>86</v>
      </c>
      <c r="D15" s="17">
        <f>A94</f>
        <v>92</v>
      </c>
      <c r="E15" s="40">
        <f t="shared" si="7"/>
        <v>7</v>
      </c>
      <c r="F15" s="7">
        <v>-1</v>
      </c>
      <c r="G15" s="18">
        <v>-1</v>
      </c>
      <c r="H15" s="7">
        <v>0</v>
      </c>
      <c r="I15" s="18">
        <v>-1</v>
      </c>
      <c r="J15" s="18" t="s">
        <v>22</v>
      </c>
      <c r="K15" s="7" t="s">
        <v>8</v>
      </c>
      <c r="L15" s="7" t="s">
        <v>8</v>
      </c>
      <c r="M15" s="11" t="str">
        <f t="shared" si="8"/>
        <v xml:space="preserve">"Lower GM", </v>
      </c>
      <c r="N15" s="11" t="str">
        <f t="shared" si="9"/>
        <v xml:space="preserve">NULL, </v>
      </c>
      <c r="O15" s="11" t="str">
        <f t="shared" si="3"/>
        <v xml:space="preserve">NULL, </v>
      </c>
      <c r="P15" s="11" t="str">
        <f t="shared" si="4"/>
        <v xml:space="preserve">tm_none, </v>
      </c>
      <c r="Q15" s="10" t="str">
        <f t="shared" si="5"/>
        <v xml:space="preserve">  {"Lower GM", 86, 92, -1, NULL, NULL, tm_none, -1, -1, 0},  // Idx 13</v>
      </c>
      <c r="R15" s="6"/>
    </row>
    <row r="16" spans="1:18" x14ac:dyDescent="0.25">
      <c r="A16" s="16">
        <f t="shared" si="6"/>
        <v>14</v>
      </c>
      <c r="B16" s="26" t="s">
        <v>110</v>
      </c>
      <c r="C16" s="17">
        <f>A124</f>
        <v>122</v>
      </c>
      <c r="D16" s="17">
        <f>A128</f>
        <v>126</v>
      </c>
      <c r="E16" s="40">
        <f t="shared" si="7"/>
        <v>5</v>
      </c>
      <c r="F16" s="7">
        <v>-1</v>
      </c>
      <c r="G16" s="18">
        <v>-1</v>
      </c>
      <c r="H16" s="7">
        <v>0</v>
      </c>
      <c r="I16" s="18">
        <v>-1</v>
      </c>
      <c r="J16" s="18" t="s">
        <v>22</v>
      </c>
      <c r="K16" s="7" t="s">
        <v>8</v>
      </c>
      <c r="L16" s="7" t="s">
        <v>8</v>
      </c>
      <c r="M16" s="11" t="str">
        <f t="shared" si="8"/>
        <v xml:space="preserve">"Pedal ADSR", </v>
      </c>
      <c r="N16" s="11" t="str">
        <f t="shared" si="9"/>
        <v xml:space="preserve">NULL, </v>
      </c>
      <c r="O16" s="11" t="str">
        <f t="shared" si="3"/>
        <v xml:space="preserve">NULL, </v>
      </c>
      <c r="P16" s="11" t="str">
        <f t="shared" si="4"/>
        <v xml:space="preserve">tm_none, </v>
      </c>
      <c r="Q16" s="10" t="str">
        <f t="shared" si="5"/>
        <v xml:space="preserve">  {"Pedal ADSR", 122, 126, -1, NULL, NULL, tm_none, -1, -1, 0},  // Idx 14</v>
      </c>
      <c r="R16" s="6"/>
    </row>
    <row r="17" spans="1:18" x14ac:dyDescent="0.25">
      <c r="A17" s="16">
        <f t="shared" si="6"/>
        <v>15</v>
      </c>
      <c r="B17" s="26" t="s">
        <v>190</v>
      </c>
      <c r="C17" s="17">
        <f>A117</f>
        <v>115</v>
      </c>
      <c r="D17" s="17">
        <f>A123</f>
        <v>121</v>
      </c>
      <c r="E17" s="40">
        <f t="shared" si="7"/>
        <v>7</v>
      </c>
      <c r="F17" s="7">
        <v>-1</v>
      </c>
      <c r="G17" s="18">
        <v>-1</v>
      </c>
      <c r="H17" s="7">
        <v>0</v>
      </c>
      <c r="I17" s="18">
        <v>-1</v>
      </c>
      <c r="J17" s="18" t="s">
        <v>22</v>
      </c>
      <c r="K17" s="7" t="s">
        <v>8</v>
      </c>
      <c r="L17" s="7" t="s">
        <v>8</v>
      </c>
      <c r="M17" s="11" t="str">
        <f t="shared" si="8"/>
        <v xml:space="preserve">"Pedal GM", </v>
      </c>
      <c r="N17" s="11" t="str">
        <f t="shared" si="9"/>
        <v xml:space="preserve">NULL, </v>
      </c>
      <c r="O17" s="11" t="str">
        <f t="shared" si="3"/>
        <v xml:space="preserve">NULL, </v>
      </c>
      <c r="P17" s="11" t="str">
        <f t="shared" si="4"/>
        <v xml:space="preserve">tm_none, </v>
      </c>
      <c r="Q17" s="10" t="str">
        <f t="shared" si="5"/>
        <v xml:space="preserve">  {"Pedal GM", 115, 121, -1, NULL, NULL, tm_none, -1, -1, 0},  // Idx 15</v>
      </c>
      <c r="R17" s="6"/>
    </row>
    <row r="18" spans="1:18" s="6" customFormat="1" x14ac:dyDescent="0.25">
      <c r="A18" s="16">
        <f t="shared" si="6"/>
        <v>16</v>
      </c>
      <c r="B18" s="30" t="s">
        <v>171</v>
      </c>
      <c r="C18" s="13">
        <f>A141</f>
        <v>139</v>
      </c>
      <c r="D18" s="13">
        <f>A162</f>
        <v>160</v>
      </c>
      <c r="E18" s="40">
        <f t="shared" si="0"/>
        <v>22</v>
      </c>
      <c r="F18" s="7">
        <v>0</v>
      </c>
      <c r="G18" s="12">
        <v>15</v>
      </c>
      <c r="H18" s="7">
        <v>0</v>
      </c>
      <c r="I18" s="12">
        <v>265</v>
      </c>
      <c r="J18" s="7" t="s">
        <v>141</v>
      </c>
      <c r="K18" s="7" t="s">
        <v>8</v>
      </c>
      <c r="L18" s="7" t="s">
        <v>167</v>
      </c>
      <c r="M18" s="11" t="str">
        <f t="shared" ref="M18:M26" si="10">CONCATENATE("""",B18,""", ")</f>
        <v xml:space="preserve">"Organ", </v>
      </c>
      <c r="N18" s="11" t="str">
        <f t="shared" ref="N18:N26" si="11">IF(K18="NULL",CONCATENATE(K18,", "),CONCATENATE("&amp;",K18,", "))</f>
        <v xml:space="preserve">NULL, </v>
      </c>
      <c r="O18" s="11" t="str">
        <f t="shared" si="3"/>
        <v xml:space="preserve">&amp;saveOrgan, </v>
      </c>
      <c r="P18" s="11" t="str">
        <f t="shared" si="4"/>
        <v xml:space="preserve">tm_organ, </v>
      </c>
      <c r="Q18" s="10" t="str">
        <f t="shared" si="5"/>
        <v xml:space="preserve">  {"Organ", 139, 160, 265, NULL, &amp;saveOrgan, tm_organ, 0, 15, 0},  // Idx 16</v>
      </c>
    </row>
    <row r="19" spans="1:18" x14ac:dyDescent="0.25">
      <c r="A19" s="16">
        <f t="shared" si="6"/>
        <v>17</v>
      </c>
      <c r="B19" s="29" t="s">
        <v>172</v>
      </c>
      <c r="C19" s="13">
        <f>A177</f>
        <v>175</v>
      </c>
      <c r="D19" s="13">
        <f>A189</f>
        <v>187</v>
      </c>
      <c r="E19" s="40">
        <f t="shared" si="0"/>
        <v>13</v>
      </c>
      <c r="F19" s="7">
        <v>0</v>
      </c>
      <c r="G19" s="12">
        <v>15</v>
      </c>
      <c r="H19" s="7">
        <v>0</v>
      </c>
      <c r="I19" s="12">
        <v>266</v>
      </c>
      <c r="J19" s="7" t="s">
        <v>140</v>
      </c>
      <c r="K19" s="7" t="s">
        <v>8</v>
      </c>
      <c r="L19" s="7" t="s">
        <v>168</v>
      </c>
      <c r="M19" s="11" t="str">
        <f t="shared" si="10"/>
        <v xml:space="preserve">"Speaker", </v>
      </c>
      <c r="N19" s="11" t="str">
        <f t="shared" si="11"/>
        <v xml:space="preserve">NULL, </v>
      </c>
      <c r="O19" s="11" t="str">
        <f t="shared" si="3"/>
        <v xml:space="preserve">&amp;saveSpeaker, </v>
      </c>
      <c r="P19" s="11" t="str">
        <f t="shared" si="4"/>
        <v xml:space="preserve">tm_speaker, </v>
      </c>
      <c r="Q19" s="10" t="str">
        <f t="shared" si="5"/>
        <v xml:space="preserve">  {"Speaker", 175, 187, 266, NULL, &amp;saveSpeaker, tm_speaker, 0, 15, 0},  // Idx 17</v>
      </c>
      <c r="R19" s="6"/>
    </row>
    <row r="20" spans="1:18" x14ac:dyDescent="0.25">
      <c r="A20" s="16">
        <f t="shared" si="6"/>
        <v>18</v>
      </c>
      <c r="B20" s="32" t="s">
        <v>181</v>
      </c>
      <c r="C20" s="13">
        <f>A190</f>
        <v>188</v>
      </c>
      <c r="D20" s="13">
        <f>A201</f>
        <v>199</v>
      </c>
      <c r="E20" s="40">
        <f t="shared" si="0"/>
        <v>12</v>
      </c>
      <c r="F20" s="7">
        <v>-1</v>
      </c>
      <c r="G20" s="18">
        <v>-1</v>
      </c>
      <c r="H20" s="7">
        <v>0</v>
      </c>
      <c r="I20" s="18">
        <v>-1</v>
      </c>
      <c r="J20" s="18" t="s">
        <v>22</v>
      </c>
      <c r="K20" s="7" t="s">
        <v>8</v>
      </c>
      <c r="L20" s="7" t="s">
        <v>169</v>
      </c>
      <c r="M20" s="11" t="str">
        <f t="shared" si="10"/>
        <v xml:space="preserve">"Keybd Setup", </v>
      </c>
      <c r="N20" s="11" t="str">
        <f t="shared" si="11"/>
        <v xml:space="preserve">NULL, </v>
      </c>
      <c r="O20" s="11" t="str">
        <f t="shared" si="3"/>
        <v xml:space="preserve">&amp;saveDefaults, </v>
      </c>
      <c r="P20" s="11" t="str">
        <f t="shared" si="4"/>
        <v xml:space="preserve">tm_none, </v>
      </c>
      <c r="Q20" s="10" t="str">
        <f t="shared" si="5"/>
        <v xml:space="preserve">  {"Keybd Setup", 188, 199, -1, NULL, &amp;saveDefaults, tm_none, -1, -1, 0},  // Idx 18</v>
      </c>
      <c r="R20" s="6"/>
    </row>
    <row r="21" spans="1:18" x14ac:dyDescent="0.25">
      <c r="A21" s="16">
        <f t="shared" si="6"/>
        <v>19</v>
      </c>
      <c r="B21" s="44" t="s">
        <v>186</v>
      </c>
      <c r="C21" s="17">
        <f>A204</f>
        <v>202</v>
      </c>
      <c r="D21" s="17">
        <f>A212</f>
        <v>210</v>
      </c>
      <c r="E21" s="40">
        <f>D21-C21+1</f>
        <v>9</v>
      </c>
      <c r="F21" s="7">
        <v>-1</v>
      </c>
      <c r="G21" s="18">
        <v>-1</v>
      </c>
      <c r="H21" s="7">
        <v>0</v>
      </c>
      <c r="I21" s="18">
        <v>-1</v>
      </c>
      <c r="J21" s="7" t="s">
        <v>22</v>
      </c>
      <c r="K21" s="7" t="s">
        <v>8</v>
      </c>
      <c r="L21" s="7" t="s">
        <v>8</v>
      </c>
      <c r="M21" s="11" t="str">
        <f>CONCATENATE("""",B21,""", ")</f>
        <v xml:space="preserve">"Settings", </v>
      </c>
      <c r="N21" s="11" t="str">
        <f>IF(K21="NULL",CONCATENATE(K21,", "),CONCATENATE("&amp;",K21,", "))</f>
        <v xml:space="preserve">NULL, </v>
      </c>
      <c r="O21" s="11" t="str">
        <f t="shared" si="3"/>
        <v xml:space="preserve">NULL, </v>
      </c>
      <c r="P21" s="11" t="str">
        <f>IF(J21="NULL",CONCATENATE(J21,", "),CONCATENATE("tm_",J21,", "))</f>
        <v xml:space="preserve">tm_none, </v>
      </c>
      <c r="Q21" s="10" t="str">
        <f t="shared" si="5"/>
        <v xml:space="preserve">  {"Settings", 202, 210, -1, NULL, NULL, tm_none, -1, -1, 0},  // Idx 19</v>
      </c>
      <c r="R21" s="6"/>
    </row>
    <row r="22" spans="1:18" x14ac:dyDescent="0.25">
      <c r="A22" s="16">
        <f t="shared" si="6"/>
        <v>20</v>
      </c>
      <c r="B22" s="25" t="s">
        <v>49</v>
      </c>
      <c r="C22" s="13">
        <v>-1</v>
      </c>
      <c r="D22" s="13">
        <v>-1</v>
      </c>
      <c r="E22" s="13"/>
      <c r="F22" s="3">
        <v>0</v>
      </c>
      <c r="G22" s="7">
        <v>127</v>
      </c>
      <c r="H22" s="7">
        <v>0</v>
      </c>
      <c r="I22" s="7">
        <v>87</v>
      </c>
      <c r="J22" s="7" t="s">
        <v>138</v>
      </c>
      <c r="K22" s="7" t="s">
        <v>8</v>
      </c>
      <c r="L22" s="7" t="s">
        <v>8</v>
      </c>
      <c r="M22" s="11" t="str">
        <f>CONCATENATE("""",B22,""", ")</f>
        <v xml:space="preserve">"AO28 Tone Pot", </v>
      </c>
      <c r="N22" s="11" t="str">
        <f>IF(K22="NULL",CONCATENATE(K22,", "),CONCATENATE("&amp;",K22,", "))</f>
        <v xml:space="preserve">NULL, </v>
      </c>
      <c r="O22" s="11" t="str">
        <f t="shared" si="3"/>
        <v xml:space="preserve">NULL, </v>
      </c>
      <c r="P22" s="11" t="str">
        <f t="shared" si="4"/>
        <v xml:space="preserve">tm_pot, </v>
      </c>
      <c r="Q22" s="10" t="str">
        <f t="shared" si="5"/>
        <v xml:space="preserve">  {"AO28 Tone Pot", -1, -1, 87, NULL, NULL, tm_pot, 0, 127, 0},  // Idx 20</v>
      </c>
      <c r="R22" s="6"/>
    </row>
    <row r="23" spans="1:18" x14ac:dyDescent="0.25">
      <c r="A23" s="16">
        <f t="shared" ref="A23" si="12">A22+1</f>
        <v>21</v>
      </c>
      <c r="B23" s="25" t="s">
        <v>50</v>
      </c>
      <c r="C23" s="13">
        <v>-1</v>
      </c>
      <c r="D23" s="13">
        <v>-1</v>
      </c>
      <c r="E23" s="13"/>
      <c r="F23" s="3">
        <v>0</v>
      </c>
      <c r="G23" s="7">
        <v>127</v>
      </c>
      <c r="H23" s="7">
        <v>0</v>
      </c>
      <c r="I23" s="7">
        <v>88</v>
      </c>
      <c r="J23" s="7" t="s">
        <v>138</v>
      </c>
      <c r="K23" s="7" t="s">
        <v>8</v>
      </c>
      <c r="L23" s="7" t="s">
        <v>8</v>
      </c>
      <c r="M23" s="11" t="str">
        <f>CONCATENATE("""",B23,""", ")</f>
        <v xml:space="preserve">"AO28 Gain Cap", </v>
      </c>
      <c r="N23" s="11" t="str">
        <f>IF(K23="NULL",CONCATENATE(K23,", "),CONCATENATE("&amp;",K23,", "))</f>
        <v xml:space="preserve">NULL, </v>
      </c>
      <c r="O23" s="11" t="str">
        <f t="shared" si="3"/>
        <v xml:space="preserve">NULL, </v>
      </c>
      <c r="P23" s="11" t="str">
        <f t="shared" si="4"/>
        <v xml:space="preserve">tm_pot, </v>
      </c>
      <c r="Q23" s="10" t="str">
        <f t="shared" si="5"/>
        <v xml:space="preserve">  {"AO28 Gain Cap", -1, -1, 88, NULL, NULL, tm_pot, 0, 127, 0},  // Idx 21</v>
      </c>
      <c r="R23" s="6"/>
    </row>
    <row r="24" spans="1:18" x14ac:dyDescent="0.25">
      <c r="A24" s="16">
        <f t="shared" ref="A24:A63" si="13">A23+1</f>
        <v>22</v>
      </c>
      <c r="B24" s="8" t="s">
        <v>61</v>
      </c>
      <c r="C24" s="13">
        <v>-1</v>
      </c>
      <c r="D24" s="13">
        <v>-1</v>
      </c>
      <c r="E24" s="13"/>
      <c r="F24" s="5">
        <v>0</v>
      </c>
      <c r="G24" s="5">
        <v>1</v>
      </c>
      <c r="H24" s="7">
        <v>0</v>
      </c>
      <c r="I24" s="5">
        <v>172</v>
      </c>
      <c r="J24" s="7" t="s">
        <v>26</v>
      </c>
      <c r="K24" s="7" t="s">
        <v>8</v>
      </c>
      <c r="L24" s="7" t="s">
        <v>8</v>
      </c>
      <c r="M24" s="11" t="str">
        <f>CONCATENATE("""",B24,""", ")</f>
        <v xml:space="preserve">"Ext FX Insert", </v>
      </c>
      <c r="N24" s="11" t="str">
        <f>IF(K24="NULL",CONCATENATE(K24,", "),CONCATENATE("&amp;",K24,", "))</f>
        <v xml:space="preserve">NULL, </v>
      </c>
      <c r="O24" s="11" t="str">
        <f t="shared" si="3"/>
        <v xml:space="preserve">NULL, </v>
      </c>
      <c r="P24" s="11" t="str">
        <f t="shared" si="4"/>
        <v xml:space="preserve">tm_tab, </v>
      </c>
      <c r="Q24" s="10" t="str">
        <f t="shared" si="5"/>
        <v xml:space="preserve">  {"Ext FX Insert", -1, -1, 172, NULL, NULL, tm_tab, 0, 1, 0},  // Idx 22</v>
      </c>
    </row>
    <row r="25" spans="1:18" x14ac:dyDescent="0.25">
      <c r="A25" s="16">
        <f t="shared" si="13"/>
        <v>23</v>
      </c>
      <c r="B25" s="8" t="s">
        <v>38</v>
      </c>
      <c r="C25" s="13">
        <v>-1</v>
      </c>
      <c r="D25" s="13">
        <v>-1</v>
      </c>
      <c r="E25" s="13"/>
      <c r="F25" s="5">
        <v>0</v>
      </c>
      <c r="G25" s="5">
        <v>1</v>
      </c>
      <c r="H25" s="7">
        <v>0</v>
      </c>
      <c r="I25" s="5">
        <v>137</v>
      </c>
      <c r="J25" s="7" t="s">
        <v>26</v>
      </c>
      <c r="K25" s="7" t="s">
        <v>8</v>
      </c>
      <c r="L25" s="7" t="s">
        <v>8</v>
      </c>
      <c r="M25" s="11" t="str">
        <f>CONCATENATE("""",B25,""", ")</f>
        <v xml:space="preserve">"Rotary Bypass", </v>
      </c>
      <c r="N25" s="11" t="str">
        <f>IF(K25="NULL",CONCATENATE(K25,", "),CONCATENATE("&amp;",K25,", "))</f>
        <v xml:space="preserve">NULL, </v>
      </c>
      <c r="O25" s="11" t="str">
        <f t="shared" si="3"/>
        <v xml:space="preserve">NULL, </v>
      </c>
      <c r="P25" s="11" t="str">
        <f t="shared" si="4"/>
        <v xml:space="preserve">tm_tab, </v>
      </c>
      <c r="Q25" s="10" t="str">
        <f t="shared" si="5"/>
        <v xml:space="preserve">  {"Rotary Bypass", -1, -1, 137, NULL, NULL, tm_tab, 0, 1, 0},  // Idx 23</v>
      </c>
    </row>
    <row r="26" spans="1:18" x14ac:dyDescent="0.25">
      <c r="A26" s="16">
        <f t="shared" si="13"/>
        <v>24</v>
      </c>
      <c r="B26" s="8" t="s">
        <v>174</v>
      </c>
      <c r="C26" s="13">
        <v>-1</v>
      </c>
      <c r="D26" s="13">
        <v>-1</v>
      </c>
      <c r="E26" s="13"/>
      <c r="F26" s="3">
        <v>0</v>
      </c>
      <c r="G26" s="5">
        <v>1</v>
      </c>
      <c r="H26" s="7">
        <v>0</v>
      </c>
      <c r="I26" s="7">
        <v>142</v>
      </c>
      <c r="J26" s="7" t="s">
        <v>26</v>
      </c>
      <c r="K26" s="7" t="s">
        <v>8</v>
      </c>
      <c r="L26" s="7" t="s">
        <v>8</v>
      </c>
      <c r="M26" s="11" t="str">
        <f t="shared" si="10"/>
        <v xml:space="preserve">"Separate Pedal", </v>
      </c>
      <c r="N26" s="11" t="str">
        <f t="shared" si="11"/>
        <v xml:space="preserve">NULL, </v>
      </c>
      <c r="O26" s="11" t="str">
        <f t="shared" si="3"/>
        <v xml:space="preserve">NULL, </v>
      </c>
      <c r="P26" s="11" t="str">
        <f t="shared" si="4"/>
        <v xml:space="preserve">tm_tab, </v>
      </c>
      <c r="Q26" s="10" t="str">
        <f t="shared" si="5"/>
        <v xml:space="preserve">  {"Separate Pedal", -1, -1, 142, NULL, NULL, tm_tab, 0, 1, 0},  // Idx 24</v>
      </c>
      <c r="R26" s="6"/>
    </row>
    <row r="27" spans="1:18" x14ac:dyDescent="0.25">
      <c r="A27" s="16">
        <f t="shared" si="13"/>
        <v>25</v>
      </c>
      <c r="B27" s="42" t="s">
        <v>173</v>
      </c>
      <c r="C27" s="13">
        <v>-1</v>
      </c>
      <c r="D27" s="13">
        <v>-1</v>
      </c>
      <c r="E27" s="40"/>
      <c r="F27" s="3">
        <v>0</v>
      </c>
      <c r="G27" s="5">
        <v>1</v>
      </c>
      <c r="H27" s="7">
        <v>0</v>
      </c>
      <c r="I27" s="7">
        <v>136</v>
      </c>
      <c r="J27" s="7" t="s">
        <v>26</v>
      </c>
      <c r="K27" s="7" t="s">
        <v>8</v>
      </c>
      <c r="L27" s="7" t="s">
        <v>8</v>
      </c>
      <c r="M27" s="11" t="str">
        <f t="shared" ref="M27" si="14">CONCATENATE("""",B27,""", ")</f>
        <v xml:space="preserve">"Amp Bypass", </v>
      </c>
      <c r="N27" s="11" t="str">
        <f t="shared" ref="N27" si="15">IF(K27="NULL",CONCATENATE(K27,", "),CONCATENATE("&amp;",K27,", "))</f>
        <v xml:space="preserve">NULL, </v>
      </c>
      <c r="O27" s="11" t="str">
        <f t="shared" si="3"/>
        <v xml:space="preserve">NULL, </v>
      </c>
      <c r="P27" s="11" t="str">
        <f t="shared" si="4"/>
        <v xml:space="preserve">tm_tab, </v>
      </c>
      <c r="Q27" s="10" t="str">
        <f t="shared" si="5"/>
        <v xml:space="preserve">  {"Amp Bypass", -1, -1, 136, NULL, NULL, tm_tab, 0, 1, 0},  // Idx 25</v>
      </c>
      <c r="R27" s="6"/>
    </row>
    <row r="28" spans="1:18" x14ac:dyDescent="0.25">
      <c r="A28" s="16">
        <f t="shared" si="13"/>
        <v>26</v>
      </c>
      <c r="B28" s="28" t="s">
        <v>62</v>
      </c>
      <c r="C28" s="13">
        <v>-1</v>
      </c>
      <c r="D28" s="13">
        <v>-1</v>
      </c>
      <c r="E28" s="13"/>
      <c r="F28" s="3">
        <v>0</v>
      </c>
      <c r="G28" s="3">
        <v>127</v>
      </c>
      <c r="H28" s="7">
        <v>0</v>
      </c>
      <c r="I28" s="3">
        <v>0</v>
      </c>
      <c r="J28" s="7" t="s">
        <v>25</v>
      </c>
      <c r="K28" s="7" t="s">
        <v>8</v>
      </c>
      <c r="L28" s="7" t="s">
        <v>164</v>
      </c>
      <c r="M28" s="11" t="str">
        <f t="shared" ref="M28:M36" si="16">CONCATENATE("""",B28,""", ")</f>
        <v xml:space="preserve">"Drawbar 16", </v>
      </c>
      <c r="N28" s="11" t="str">
        <f t="shared" ref="N28:N36" si="17">IF(K28="NULL",CONCATENATE(K28,", "),CONCATENATE("&amp;",K28,", "))</f>
        <v xml:space="preserve">NULL, </v>
      </c>
      <c r="O28" s="11" t="str">
        <f t="shared" si="3"/>
        <v xml:space="preserve">&amp;saveUpper, </v>
      </c>
      <c r="P28" s="11" t="str">
        <f t="shared" si="4"/>
        <v xml:space="preserve">tm_drawbar, </v>
      </c>
      <c r="Q28" s="10" t="str">
        <f t="shared" si="5"/>
        <v xml:space="preserve">  {"Drawbar 16", -1, -1, 0, NULL, &amp;saveUpper, tm_drawbar, 0, 127, 0},  // Idx 26</v>
      </c>
      <c r="R28" s="6"/>
    </row>
    <row r="29" spans="1:18" x14ac:dyDescent="0.25">
      <c r="A29" s="16">
        <f t="shared" si="13"/>
        <v>27</v>
      </c>
      <c r="B29" s="28" t="s">
        <v>63</v>
      </c>
      <c r="C29" s="13">
        <v>-1</v>
      </c>
      <c r="D29" s="13">
        <v>-1</v>
      </c>
      <c r="E29" s="13"/>
      <c r="F29" s="3">
        <v>0</v>
      </c>
      <c r="G29" s="3">
        <v>127</v>
      </c>
      <c r="H29" s="7">
        <v>0</v>
      </c>
      <c r="I29" s="3">
        <v>1</v>
      </c>
      <c r="J29" s="7" t="s">
        <v>25</v>
      </c>
      <c r="K29" s="7" t="s">
        <v>8</v>
      </c>
      <c r="L29" s="7" t="s">
        <v>164</v>
      </c>
      <c r="M29" s="11" t="str">
        <f t="shared" si="16"/>
        <v xml:space="preserve">"Drawbar 5 1/3", </v>
      </c>
      <c r="N29" s="11" t="str">
        <f t="shared" si="17"/>
        <v xml:space="preserve">NULL, </v>
      </c>
      <c r="O29" s="11" t="str">
        <f t="shared" si="3"/>
        <v xml:space="preserve">&amp;saveUpper, </v>
      </c>
      <c r="P29" s="11" t="str">
        <f t="shared" si="4"/>
        <v xml:space="preserve">tm_drawbar, </v>
      </c>
      <c r="Q29" s="10" t="str">
        <f t="shared" si="5"/>
        <v xml:space="preserve">  {"Drawbar 5 1/3", -1, -1, 1, NULL, &amp;saveUpper, tm_drawbar, 0, 127, 0},  // Idx 27</v>
      </c>
      <c r="R29" s="6"/>
    </row>
    <row r="30" spans="1:18" s="6" customFormat="1" x14ac:dyDescent="0.25">
      <c r="A30" s="16">
        <f t="shared" si="13"/>
        <v>28</v>
      </c>
      <c r="B30" s="28" t="s">
        <v>64</v>
      </c>
      <c r="C30" s="13">
        <v>-1</v>
      </c>
      <c r="D30" s="13">
        <v>-1</v>
      </c>
      <c r="E30" s="13"/>
      <c r="F30" s="3">
        <v>0</v>
      </c>
      <c r="G30" s="3">
        <v>127</v>
      </c>
      <c r="H30" s="7">
        <v>0</v>
      </c>
      <c r="I30" s="3">
        <v>2</v>
      </c>
      <c r="J30" s="7" t="s">
        <v>25</v>
      </c>
      <c r="K30" s="7" t="s">
        <v>8</v>
      </c>
      <c r="L30" s="7" t="s">
        <v>164</v>
      </c>
      <c r="M30" s="11" t="str">
        <f t="shared" si="16"/>
        <v xml:space="preserve">"Drawbar 8", </v>
      </c>
      <c r="N30" s="11" t="str">
        <f t="shared" si="17"/>
        <v xml:space="preserve">NULL, </v>
      </c>
      <c r="O30" s="11" t="str">
        <f t="shared" si="3"/>
        <v xml:space="preserve">&amp;saveUpper, </v>
      </c>
      <c r="P30" s="11" t="str">
        <f t="shared" si="4"/>
        <v xml:space="preserve">tm_drawbar, </v>
      </c>
      <c r="Q30" s="10" t="str">
        <f t="shared" si="5"/>
        <v xml:space="preserve">  {"Drawbar 8", -1, -1, 2, NULL, &amp;saveUpper, tm_drawbar, 0, 127, 0},  // Idx 28</v>
      </c>
    </row>
    <row r="31" spans="1:18" x14ac:dyDescent="0.25">
      <c r="A31" s="16">
        <f t="shared" si="13"/>
        <v>29</v>
      </c>
      <c r="B31" s="28" t="s">
        <v>65</v>
      </c>
      <c r="C31" s="13">
        <v>-1</v>
      </c>
      <c r="D31" s="13">
        <v>-1</v>
      </c>
      <c r="E31" s="13"/>
      <c r="F31" s="3">
        <v>0</v>
      </c>
      <c r="G31" s="3">
        <v>127</v>
      </c>
      <c r="H31" s="7">
        <v>0</v>
      </c>
      <c r="I31" s="3">
        <v>3</v>
      </c>
      <c r="J31" s="7" t="s">
        <v>25</v>
      </c>
      <c r="K31" s="7" t="s">
        <v>8</v>
      </c>
      <c r="L31" s="7" t="s">
        <v>164</v>
      </c>
      <c r="M31" s="11" t="str">
        <f t="shared" si="16"/>
        <v xml:space="preserve">"Drawbar 4", </v>
      </c>
      <c r="N31" s="11" t="str">
        <f t="shared" si="17"/>
        <v xml:space="preserve">NULL, </v>
      </c>
      <c r="O31" s="11" t="str">
        <f t="shared" si="3"/>
        <v xml:space="preserve">&amp;saveUpper, </v>
      </c>
      <c r="P31" s="11" t="str">
        <f t="shared" si="4"/>
        <v xml:space="preserve">tm_drawbar, </v>
      </c>
      <c r="Q31" s="10" t="str">
        <f t="shared" si="5"/>
        <v xml:space="preserve">  {"Drawbar 4", -1, -1, 3, NULL, &amp;saveUpper, tm_drawbar, 0, 127, 0},  // Idx 29</v>
      </c>
    </row>
    <row r="32" spans="1:18" x14ac:dyDescent="0.25">
      <c r="A32" s="16">
        <f t="shared" si="13"/>
        <v>30</v>
      </c>
      <c r="B32" s="28" t="s">
        <v>66</v>
      </c>
      <c r="C32" s="13">
        <v>-1</v>
      </c>
      <c r="D32" s="13">
        <v>-1</v>
      </c>
      <c r="E32" s="13"/>
      <c r="F32" s="3">
        <v>0</v>
      </c>
      <c r="G32" s="3">
        <v>127</v>
      </c>
      <c r="H32" s="7">
        <v>0</v>
      </c>
      <c r="I32" s="3">
        <v>4</v>
      </c>
      <c r="J32" s="7" t="s">
        <v>25</v>
      </c>
      <c r="K32" s="7" t="s">
        <v>8</v>
      </c>
      <c r="L32" s="7" t="s">
        <v>164</v>
      </c>
      <c r="M32" s="11" t="str">
        <f t="shared" si="16"/>
        <v xml:space="preserve">"Drawbar 2 2/3", </v>
      </c>
      <c r="N32" s="11" t="str">
        <f t="shared" si="17"/>
        <v xml:space="preserve">NULL, </v>
      </c>
      <c r="O32" s="11" t="str">
        <f t="shared" si="3"/>
        <v xml:space="preserve">&amp;saveUpper, </v>
      </c>
      <c r="P32" s="11" t="str">
        <f t="shared" si="4"/>
        <v xml:space="preserve">tm_drawbar, </v>
      </c>
      <c r="Q32" s="10" t="str">
        <f t="shared" si="5"/>
        <v xml:space="preserve">  {"Drawbar 2 2/3", -1, -1, 4, NULL, &amp;saveUpper, tm_drawbar, 0, 127, 0},  // Idx 30</v>
      </c>
    </row>
    <row r="33" spans="1:17" x14ac:dyDescent="0.25">
      <c r="A33" s="16">
        <f t="shared" si="13"/>
        <v>31</v>
      </c>
      <c r="B33" s="28" t="s">
        <v>67</v>
      </c>
      <c r="C33" s="13">
        <v>-1</v>
      </c>
      <c r="D33" s="13">
        <v>-1</v>
      </c>
      <c r="E33" s="13"/>
      <c r="F33" s="3">
        <v>0</v>
      </c>
      <c r="G33" s="3">
        <v>127</v>
      </c>
      <c r="H33" s="7">
        <v>0</v>
      </c>
      <c r="I33" s="3">
        <v>5</v>
      </c>
      <c r="J33" s="7" t="s">
        <v>25</v>
      </c>
      <c r="K33" s="7" t="s">
        <v>8</v>
      </c>
      <c r="L33" s="7" t="s">
        <v>164</v>
      </c>
      <c r="M33" s="11" t="str">
        <f t="shared" si="16"/>
        <v xml:space="preserve">"Drawbar 2", </v>
      </c>
      <c r="N33" s="11" t="str">
        <f t="shared" si="17"/>
        <v xml:space="preserve">NULL, </v>
      </c>
      <c r="O33" s="11" t="str">
        <f t="shared" si="3"/>
        <v xml:space="preserve">&amp;saveUpper, </v>
      </c>
      <c r="P33" s="11" t="str">
        <f t="shared" si="4"/>
        <v xml:space="preserve">tm_drawbar, </v>
      </c>
      <c r="Q33" s="10" t="str">
        <f t="shared" si="5"/>
        <v xml:space="preserve">  {"Drawbar 2", -1, -1, 5, NULL, &amp;saveUpper, tm_drawbar, 0, 127, 0},  // Idx 31</v>
      </c>
    </row>
    <row r="34" spans="1:17" x14ac:dyDescent="0.25">
      <c r="A34" s="16">
        <f t="shared" si="13"/>
        <v>32</v>
      </c>
      <c r="B34" s="28" t="s">
        <v>68</v>
      </c>
      <c r="C34" s="13">
        <v>-1</v>
      </c>
      <c r="D34" s="13">
        <v>-1</v>
      </c>
      <c r="E34" s="13"/>
      <c r="F34" s="3">
        <v>0</v>
      </c>
      <c r="G34" s="3">
        <v>127</v>
      </c>
      <c r="H34" s="7">
        <v>0</v>
      </c>
      <c r="I34" s="3">
        <v>6</v>
      </c>
      <c r="J34" s="7" t="s">
        <v>25</v>
      </c>
      <c r="K34" s="7" t="s">
        <v>8</v>
      </c>
      <c r="L34" s="7" t="s">
        <v>164</v>
      </c>
      <c r="M34" s="11" t="str">
        <f t="shared" si="16"/>
        <v xml:space="preserve">"Drawbar 1 3/5", </v>
      </c>
      <c r="N34" s="11" t="str">
        <f t="shared" si="17"/>
        <v xml:space="preserve">NULL, </v>
      </c>
      <c r="O34" s="11" t="str">
        <f t="shared" si="3"/>
        <v xml:space="preserve">&amp;saveUpper, </v>
      </c>
      <c r="P34" s="11" t="str">
        <f t="shared" si="4"/>
        <v xml:space="preserve">tm_drawbar, </v>
      </c>
      <c r="Q34" s="10" t="str">
        <f t="shared" si="5"/>
        <v xml:space="preserve">  {"Drawbar 1 3/5", -1, -1, 6, NULL, &amp;saveUpper, tm_drawbar, 0, 127, 0},  // Idx 32</v>
      </c>
    </row>
    <row r="35" spans="1:17" s="6" customFormat="1" x14ac:dyDescent="0.25">
      <c r="A35" s="16">
        <f t="shared" si="13"/>
        <v>33</v>
      </c>
      <c r="B35" s="28" t="s">
        <v>69</v>
      </c>
      <c r="C35" s="13">
        <v>-1</v>
      </c>
      <c r="D35" s="13">
        <v>-1</v>
      </c>
      <c r="E35" s="13"/>
      <c r="F35" s="3">
        <v>0</v>
      </c>
      <c r="G35" s="3">
        <v>127</v>
      </c>
      <c r="H35" s="7">
        <v>0</v>
      </c>
      <c r="I35" s="3">
        <v>7</v>
      </c>
      <c r="J35" s="7" t="s">
        <v>25</v>
      </c>
      <c r="K35" s="7" t="s">
        <v>8</v>
      </c>
      <c r="L35" s="7" t="s">
        <v>164</v>
      </c>
      <c r="M35" s="11" t="str">
        <f t="shared" si="16"/>
        <v xml:space="preserve">"Drawbar 1 1/3", </v>
      </c>
      <c r="N35" s="11" t="str">
        <f t="shared" si="17"/>
        <v xml:space="preserve">NULL, </v>
      </c>
      <c r="O35" s="11" t="str">
        <f t="shared" si="3"/>
        <v xml:space="preserve">&amp;saveUpper, </v>
      </c>
      <c r="P35" s="11" t="str">
        <f t="shared" ref="P35:P66" si="18">IF(J35="NULL",CONCATENATE(J35,", "),CONCATENATE("tm_",J35,", "))</f>
        <v xml:space="preserve">tm_drawbar, </v>
      </c>
      <c r="Q35" s="10" t="str">
        <f t="shared" si="5"/>
        <v xml:space="preserve">  {"Drawbar 1 1/3", -1, -1, 7, NULL, &amp;saveUpper, tm_drawbar, 0, 127, 0},  // Idx 33</v>
      </c>
    </row>
    <row r="36" spans="1:17" x14ac:dyDescent="0.25">
      <c r="A36" s="16">
        <f t="shared" si="13"/>
        <v>34</v>
      </c>
      <c r="B36" s="28" t="s">
        <v>70</v>
      </c>
      <c r="C36" s="13">
        <v>-1</v>
      </c>
      <c r="D36" s="13">
        <v>-1</v>
      </c>
      <c r="E36" s="13"/>
      <c r="F36" s="3">
        <v>0</v>
      </c>
      <c r="G36" s="3">
        <v>127</v>
      </c>
      <c r="H36" s="7">
        <v>0</v>
      </c>
      <c r="I36" s="3">
        <v>8</v>
      </c>
      <c r="J36" s="7" t="s">
        <v>25</v>
      </c>
      <c r="K36" s="7" t="s">
        <v>8</v>
      </c>
      <c r="L36" s="7" t="s">
        <v>164</v>
      </c>
      <c r="M36" s="11" t="str">
        <f t="shared" si="16"/>
        <v xml:space="preserve">"Drawbar 1", </v>
      </c>
      <c r="N36" s="11" t="str">
        <f t="shared" si="17"/>
        <v xml:space="preserve">NULL, </v>
      </c>
      <c r="O36" s="11" t="str">
        <f t="shared" si="3"/>
        <v xml:space="preserve">&amp;saveUpper, </v>
      </c>
      <c r="P36" s="11" t="str">
        <f t="shared" si="18"/>
        <v xml:space="preserve">tm_drawbar, </v>
      </c>
      <c r="Q36" s="10" t="str">
        <f t="shared" si="5"/>
        <v xml:space="preserve">  {"Drawbar 1", -1, -1, 8, NULL, &amp;saveUpper, tm_drawbar, 0, 127, 0},  // Idx 34</v>
      </c>
    </row>
    <row r="37" spans="1:17" x14ac:dyDescent="0.25">
      <c r="A37" s="16">
        <f t="shared" si="13"/>
        <v>35</v>
      </c>
      <c r="B37" s="28" t="s">
        <v>71</v>
      </c>
      <c r="C37" s="13">
        <v>-1</v>
      </c>
      <c r="D37" s="13">
        <v>-1</v>
      </c>
      <c r="E37" s="13"/>
      <c r="F37" s="3">
        <v>0</v>
      </c>
      <c r="G37" s="3">
        <v>127</v>
      </c>
      <c r="H37" s="7">
        <v>0</v>
      </c>
      <c r="I37" s="3">
        <v>9</v>
      </c>
      <c r="J37" s="7" t="s">
        <v>25</v>
      </c>
      <c r="K37" s="7" t="s">
        <v>8</v>
      </c>
      <c r="L37" s="7" t="s">
        <v>164</v>
      </c>
      <c r="M37" s="11" t="str">
        <f t="shared" ref="M37:M94" si="19">CONCATENATE("""",B37,""", ")</f>
        <v xml:space="preserve">"Drawbar Mix 1", </v>
      </c>
      <c r="N37" s="11" t="str">
        <f t="shared" ref="N37:N94" si="20">IF(K37="NULL",CONCATENATE(K37,", "),CONCATENATE("&amp;",K37,", "))</f>
        <v xml:space="preserve">NULL, </v>
      </c>
      <c r="O37" s="11" t="str">
        <f t="shared" si="3"/>
        <v xml:space="preserve">&amp;saveUpper, </v>
      </c>
      <c r="P37" s="11" t="str">
        <f t="shared" si="18"/>
        <v xml:space="preserve">tm_drawbar, </v>
      </c>
      <c r="Q37" s="10" t="str">
        <f t="shared" si="5"/>
        <v xml:space="preserve">  {"Drawbar Mix 1", -1, -1, 9, NULL, &amp;saveUpper, tm_drawbar, 0, 127, 0},  // Idx 35</v>
      </c>
    </row>
    <row r="38" spans="1:17" x14ac:dyDescent="0.25">
      <c r="A38" s="16">
        <f t="shared" si="13"/>
        <v>36</v>
      </c>
      <c r="B38" s="28" t="s">
        <v>72</v>
      </c>
      <c r="C38" s="13">
        <v>-1</v>
      </c>
      <c r="D38" s="13">
        <v>-1</v>
      </c>
      <c r="E38" s="13"/>
      <c r="F38" s="3">
        <v>0</v>
      </c>
      <c r="G38" s="3">
        <v>127</v>
      </c>
      <c r="H38" s="7">
        <v>0</v>
      </c>
      <c r="I38" s="3">
        <v>10</v>
      </c>
      <c r="J38" s="7" t="s">
        <v>25</v>
      </c>
      <c r="K38" s="7" t="s">
        <v>8</v>
      </c>
      <c r="L38" s="7" t="s">
        <v>164</v>
      </c>
      <c r="M38" s="11" t="str">
        <f t="shared" si="19"/>
        <v xml:space="preserve">"Drawbar Mix 2", </v>
      </c>
      <c r="N38" s="11" t="str">
        <f t="shared" si="20"/>
        <v xml:space="preserve">NULL, </v>
      </c>
      <c r="O38" s="11" t="str">
        <f t="shared" si="3"/>
        <v xml:space="preserve">&amp;saveUpper, </v>
      </c>
      <c r="P38" s="11" t="str">
        <f t="shared" si="18"/>
        <v xml:space="preserve">tm_drawbar, </v>
      </c>
      <c r="Q38" s="10" t="str">
        <f t="shared" si="5"/>
        <v xml:space="preserve">  {"Drawbar Mix 2", -1, -1, 10, NULL, &amp;saveUpper, tm_drawbar, 0, 127, 0},  // Idx 36</v>
      </c>
    </row>
    <row r="39" spans="1:17" x14ac:dyDescent="0.25">
      <c r="A39" s="16">
        <f t="shared" si="13"/>
        <v>37</v>
      </c>
      <c r="B39" s="28" t="s">
        <v>73</v>
      </c>
      <c r="C39" s="13">
        <v>-1</v>
      </c>
      <c r="D39" s="13">
        <v>-1</v>
      </c>
      <c r="E39" s="13"/>
      <c r="F39" s="3">
        <v>0</v>
      </c>
      <c r="G39" s="3">
        <v>127</v>
      </c>
      <c r="H39" s="7">
        <v>0</v>
      </c>
      <c r="I39" s="3">
        <v>11</v>
      </c>
      <c r="J39" s="7" t="s">
        <v>25</v>
      </c>
      <c r="K39" s="7" t="s">
        <v>8</v>
      </c>
      <c r="L39" s="7" t="s">
        <v>164</v>
      </c>
      <c r="M39" s="11" t="str">
        <f t="shared" si="19"/>
        <v xml:space="preserve">"Drawbar Mix 3", </v>
      </c>
      <c r="N39" s="11" t="str">
        <f t="shared" si="20"/>
        <v xml:space="preserve">NULL, </v>
      </c>
      <c r="O39" s="11" t="str">
        <f t="shared" si="3"/>
        <v xml:space="preserve">&amp;saveUpper, </v>
      </c>
      <c r="P39" s="11" t="str">
        <f t="shared" si="18"/>
        <v xml:space="preserve">tm_drawbar, </v>
      </c>
      <c r="Q39" s="10" t="str">
        <f t="shared" si="5"/>
        <v xml:space="preserve">  {"Drawbar Mix 3", -1, -1, 11, NULL, &amp;saveUpper, tm_drawbar, 0, 127, 0},  // Idx 37</v>
      </c>
    </row>
    <row r="40" spans="1:17" x14ac:dyDescent="0.25">
      <c r="A40" s="16">
        <f t="shared" si="13"/>
        <v>38</v>
      </c>
      <c r="B40" s="36" t="s">
        <v>74</v>
      </c>
      <c r="C40" s="13">
        <v>-1</v>
      </c>
      <c r="D40" s="13">
        <v>-1</v>
      </c>
      <c r="E40" s="13"/>
      <c r="F40" s="3">
        <v>0</v>
      </c>
      <c r="G40" s="3">
        <v>126</v>
      </c>
      <c r="H40" s="7">
        <v>0</v>
      </c>
      <c r="I40" s="3">
        <v>224</v>
      </c>
      <c r="J40" s="7" t="s">
        <v>24</v>
      </c>
      <c r="K40" s="7" t="s">
        <v>8</v>
      </c>
      <c r="L40" s="7" t="s">
        <v>8</v>
      </c>
      <c r="M40" s="11" t="str">
        <f t="shared" si="19"/>
        <v xml:space="preserve">"GM Prg 1", </v>
      </c>
      <c r="N40" s="11" t="str">
        <f t="shared" si="20"/>
        <v xml:space="preserve">NULL, </v>
      </c>
      <c r="O40" s="11" t="str">
        <f t="shared" si="3"/>
        <v xml:space="preserve">NULL, </v>
      </c>
      <c r="P40" s="11" t="str">
        <f t="shared" si="18"/>
        <v xml:space="preserve">tm_numeric, </v>
      </c>
      <c r="Q40" s="10" t="str">
        <f t="shared" si="5"/>
        <v xml:space="preserve">  {"GM Prg 1", -1, -1, 224, NULL, NULL, tm_numeric, 0, 126, 0},  // Idx 38</v>
      </c>
    </row>
    <row r="41" spans="1:17" x14ac:dyDescent="0.25">
      <c r="A41" s="16">
        <f t="shared" si="13"/>
        <v>39</v>
      </c>
      <c r="B41" s="36" t="s">
        <v>151</v>
      </c>
      <c r="C41" s="13">
        <v>-1</v>
      </c>
      <c r="D41" s="13">
        <v>-1</v>
      </c>
      <c r="E41" s="13"/>
      <c r="F41" s="3">
        <v>0</v>
      </c>
      <c r="G41" s="3">
        <v>127</v>
      </c>
      <c r="H41" s="7">
        <v>0</v>
      </c>
      <c r="I41" s="3">
        <v>225</v>
      </c>
      <c r="J41" s="7" t="s">
        <v>138</v>
      </c>
      <c r="K41" s="7" t="s">
        <v>8</v>
      </c>
      <c r="L41" s="7" t="s">
        <v>8</v>
      </c>
      <c r="M41" s="11" t="str">
        <f t="shared" si="19"/>
        <v xml:space="preserve">"GM Level 1", </v>
      </c>
      <c r="N41" s="11" t="str">
        <f t="shared" si="20"/>
        <v xml:space="preserve">NULL, </v>
      </c>
      <c r="O41" s="11" t="str">
        <f t="shared" si="3"/>
        <v xml:space="preserve">NULL, </v>
      </c>
      <c r="P41" s="11" t="str">
        <f t="shared" si="18"/>
        <v xml:space="preserve">tm_pot, </v>
      </c>
      <c r="Q41" s="10" t="str">
        <f t="shared" si="5"/>
        <v xml:space="preserve">  {"GM Level 1", -1, -1, 225, NULL, NULL, tm_pot, 0, 127, 0},  // Idx 39</v>
      </c>
    </row>
    <row r="42" spans="1:17" x14ac:dyDescent="0.25">
      <c r="A42" s="16">
        <f t="shared" si="13"/>
        <v>40</v>
      </c>
      <c r="B42" s="36" t="s">
        <v>75</v>
      </c>
      <c r="C42" s="13">
        <v>-1</v>
      </c>
      <c r="D42" s="13">
        <v>-1</v>
      </c>
      <c r="E42" s="13"/>
      <c r="F42" s="3">
        <v>0</v>
      </c>
      <c r="G42" s="3">
        <v>5</v>
      </c>
      <c r="H42" s="7">
        <v>0</v>
      </c>
      <c r="I42" s="3">
        <v>226</v>
      </c>
      <c r="J42" s="7" t="s">
        <v>24</v>
      </c>
      <c r="K42" s="7" t="s">
        <v>8</v>
      </c>
      <c r="L42" s="7" t="s">
        <v>8</v>
      </c>
      <c r="M42" s="11" t="str">
        <f t="shared" si="19"/>
        <v xml:space="preserve">"GM Hrm 1", </v>
      </c>
      <c r="N42" s="11" t="str">
        <f t="shared" si="20"/>
        <v xml:space="preserve">NULL, </v>
      </c>
      <c r="O42" s="11" t="str">
        <f t="shared" si="3"/>
        <v xml:space="preserve">NULL, </v>
      </c>
      <c r="P42" s="11" t="str">
        <f t="shared" si="18"/>
        <v xml:space="preserve">tm_numeric, </v>
      </c>
      <c r="Q42" s="10" t="str">
        <f t="shared" si="5"/>
        <v xml:space="preserve">  {"GM Hrm 1", -1, -1, 226, NULL, NULL, tm_numeric, 0, 5, 0},  // Idx 40</v>
      </c>
    </row>
    <row r="43" spans="1:17" x14ac:dyDescent="0.25">
      <c r="A43" s="16">
        <f t="shared" si="13"/>
        <v>41</v>
      </c>
      <c r="B43" s="36" t="s">
        <v>76</v>
      </c>
      <c r="C43" s="13">
        <v>-1</v>
      </c>
      <c r="D43" s="13">
        <v>-1</v>
      </c>
      <c r="E43" s="13"/>
      <c r="F43" s="3">
        <v>0</v>
      </c>
      <c r="G43" s="3">
        <v>126</v>
      </c>
      <c r="H43" s="7">
        <v>1</v>
      </c>
      <c r="I43" s="3">
        <v>227</v>
      </c>
      <c r="J43" s="7" t="s">
        <v>24</v>
      </c>
      <c r="K43" s="7" t="s">
        <v>8</v>
      </c>
      <c r="L43" s="7" t="s">
        <v>8</v>
      </c>
      <c r="M43" s="11" t="str">
        <f t="shared" si="19"/>
        <v xml:space="preserve">"GM Prg 2", </v>
      </c>
      <c r="N43" s="11" t="str">
        <f t="shared" si="20"/>
        <v xml:space="preserve">NULL, </v>
      </c>
      <c r="O43" s="11" t="str">
        <f t="shared" si="3"/>
        <v xml:space="preserve">NULL, </v>
      </c>
      <c r="P43" s="11" t="str">
        <f t="shared" si="18"/>
        <v xml:space="preserve">tm_numeric, </v>
      </c>
      <c r="Q43" s="10" t="str">
        <f t="shared" si="5"/>
        <v xml:space="preserve">  {"GM Prg 2", -1, -1, 227, NULL, NULL, tm_numeric, 0, 126, 1},  // Idx 41</v>
      </c>
    </row>
    <row r="44" spans="1:17" x14ac:dyDescent="0.25">
      <c r="A44" s="16">
        <f t="shared" si="13"/>
        <v>42</v>
      </c>
      <c r="B44" s="36" t="s">
        <v>152</v>
      </c>
      <c r="C44" s="13">
        <v>-1</v>
      </c>
      <c r="D44" s="13">
        <v>-1</v>
      </c>
      <c r="E44" s="13"/>
      <c r="F44" s="3">
        <v>0</v>
      </c>
      <c r="G44" s="3">
        <v>127</v>
      </c>
      <c r="H44" s="7">
        <v>1</v>
      </c>
      <c r="I44" s="3">
        <v>228</v>
      </c>
      <c r="J44" s="7" t="s">
        <v>138</v>
      </c>
      <c r="K44" s="7" t="s">
        <v>8</v>
      </c>
      <c r="L44" s="7" t="s">
        <v>8</v>
      </c>
      <c r="M44" s="11" t="str">
        <f t="shared" si="19"/>
        <v xml:space="preserve">"GM Level 2", </v>
      </c>
      <c r="N44" s="11" t="str">
        <f t="shared" si="20"/>
        <v xml:space="preserve">NULL, </v>
      </c>
      <c r="O44" s="11" t="str">
        <f t="shared" si="3"/>
        <v xml:space="preserve">NULL, </v>
      </c>
      <c r="P44" s="11" t="str">
        <f t="shared" si="18"/>
        <v xml:space="preserve">tm_pot, </v>
      </c>
      <c r="Q44" s="10" t="str">
        <f t="shared" si="5"/>
        <v xml:space="preserve">  {"GM Level 2", -1, -1, 228, NULL, NULL, tm_pot, 0, 127, 1},  // Idx 42</v>
      </c>
    </row>
    <row r="45" spans="1:17" x14ac:dyDescent="0.25">
      <c r="A45" s="16">
        <f t="shared" si="13"/>
        <v>43</v>
      </c>
      <c r="B45" s="36" t="s">
        <v>77</v>
      </c>
      <c r="C45" s="13">
        <v>-1</v>
      </c>
      <c r="D45" s="13">
        <v>-1</v>
      </c>
      <c r="E45" s="13"/>
      <c r="F45" s="3">
        <v>0</v>
      </c>
      <c r="G45" s="3">
        <v>5</v>
      </c>
      <c r="H45" s="7">
        <v>1</v>
      </c>
      <c r="I45" s="3">
        <v>229</v>
      </c>
      <c r="J45" s="7" t="s">
        <v>24</v>
      </c>
      <c r="K45" s="7" t="s">
        <v>8</v>
      </c>
      <c r="L45" s="7" t="s">
        <v>8</v>
      </c>
      <c r="M45" s="11" t="str">
        <f t="shared" si="19"/>
        <v xml:space="preserve">"GM Harm2", </v>
      </c>
      <c r="N45" s="11" t="str">
        <f t="shared" si="20"/>
        <v xml:space="preserve">NULL, </v>
      </c>
      <c r="O45" s="11" t="str">
        <f t="shared" si="3"/>
        <v xml:space="preserve">NULL, </v>
      </c>
      <c r="P45" s="11" t="str">
        <f t="shared" si="18"/>
        <v xml:space="preserve">tm_numeric, </v>
      </c>
      <c r="Q45" s="10" t="str">
        <f t="shared" si="5"/>
        <v xml:space="preserve">  {"GM Harm2", -1, -1, 229, NULL, NULL, tm_numeric, 0, 5, 1},  // Idx 43</v>
      </c>
    </row>
    <row r="46" spans="1:17" x14ac:dyDescent="0.25">
      <c r="A46" s="16">
        <f t="shared" si="13"/>
        <v>44</v>
      </c>
      <c r="B46" s="36" t="s">
        <v>111</v>
      </c>
      <c r="C46" s="13">
        <v>-1</v>
      </c>
      <c r="D46" s="13">
        <v>-1</v>
      </c>
      <c r="E46" s="13"/>
      <c r="F46" s="3">
        <v>0</v>
      </c>
      <c r="G46" s="3">
        <v>15</v>
      </c>
      <c r="H46" s="7">
        <v>1</v>
      </c>
      <c r="I46" s="3">
        <v>230</v>
      </c>
      <c r="J46" s="7" t="s">
        <v>138</v>
      </c>
      <c r="K46" s="7" t="s">
        <v>8</v>
      </c>
      <c r="L46" s="7" t="s">
        <v>8</v>
      </c>
      <c r="M46" s="11" t="str">
        <f t="shared" si="19"/>
        <v xml:space="preserve">"GM Detune 2", </v>
      </c>
      <c r="N46" s="11" t="str">
        <f t="shared" si="20"/>
        <v xml:space="preserve">NULL, </v>
      </c>
      <c r="O46" s="11" t="str">
        <f t="shared" si="3"/>
        <v xml:space="preserve">NULL, </v>
      </c>
      <c r="P46" s="11" t="str">
        <f t="shared" si="18"/>
        <v xml:space="preserve">tm_pot, </v>
      </c>
      <c r="Q46" s="10" t="str">
        <f t="shared" si="5"/>
        <v xml:space="preserve">  {"GM Detune 2", -1, -1, 230, NULL, NULL, tm_pot, 0, 15, 1},  // Idx 44</v>
      </c>
    </row>
    <row r="47" spans="1:17" x14ac:dyDescent="0.25">
      <c r="A47" s="16">
        <f t="shared" si="13"/>
        <v>45</v>
      </c>
      <c r="B47" s="37" t="s">
        <v>81</v>
      </c>
      <c r="C47" s="13">
        <v>-1</v>
      </c>
      <c r="D47" s="13">
        <v>-1</v>
      </c>
      <c r="E47" s="13"/>
      <c r="F47" s="3">
        <v>0</v>
      </c>
      <c r="G47" s="3">
        <v>127</v>
      </c>
      <c r="H47" s="7">
        <v>1</v>
      </c>
      <c r="I47" s="3">
        <v>96</v>
      </c>
      <c r="J47" s="7" t="s">
        <v>25</v>
      </c>
      <c r="K47" s="7" t="s">
        <v>8</v>
      </c>
      <c r="L47" s="7" t="s">
        <v>8</v>
      </c>
      <c r="M47" s="11" t="str">
        <f t="shared" ref="M47:M75" si="21">CONCATENATE("""",B47,""", ")</f>
        <v xml:space="preserve">"Env/Perc 16", </v>
      </c>
      <c r="N47" s="11" t="str">
        <f t="shared" ref="N47:N75" si="22">IF(K47="NULL",CONCATENATE(K47,", "),CONCATENATE("&amp;",K47,", "))</f>
        <v xml:space="preserve">NULL, </v>
      </c>
      <c r="O47" s="11" t="str">
        <f t="shared" si="3"/>
        <v xml:space="preserve">NULL, </v>
      </c>
      <c r="P47" s="11" t="str">
        <f t="shared" si="18"/>
        <v xml:space="preserve">tm_drawbar, </v>
      </c>
      <c r="Q47" s="10" t="str">
        <f t="shared" si="5"/>
        <v xml:space="preserve">  {"Env/Perc 16", -1, -1, 96, NULL, NULL, tm_drawbar, 0, 127, 1},  // Idx 45</v>
      </c>
    </row>
    <row r="48" spans="1:17" x14ac:dyDescent="0.25">
      <c r="A48" s="16">
        <f t="shared" si="13"/>
        <v>46</v>
      </c>
      <c r="B48" s="37" t="s">
        <v>82</v>
      </c>
      <c r="C48" s="13">
        <v>-1</v>
      </c>
      <c r="D48" s="13">
        <v>-1</v>
      </c>
      <c r="E48" s="13"/>
      <c r="F48" s="3">
        <v>0</v>
      </c>
      <c r="G48" s="3">
        <v>127</v>
      </c>
      <c r="H48" s="7">
        <v>1</v>
      </c>
      <c r="I48" s="3">
        <v>97</v>
      </c>
      <c r="J48" s="7" t="s">
        <v>25</v>
      </c>
      <c r="K48" s="7" t="s">
        <v>8</v>
      </c>
      <c r="L48" s="7" t="s">
        <v>8</v>
      </c>
      <c r="M48" s="11" t="str">
        <f t="shared" si="21"/>
        <v xml:space="preserve">"Env/Perc 5 1/3", </v>
      </c>
      <c r="N48" s="11" t="str">
        <f t="shared" si="22"/>
        <v xml:space="preserve">NULL, </v>
      </c>
      <c r="O48" s="11" t="str">
        <f t="shared" si="3"/>
        <v xml:space="preserve">NULL, </v>
      </c>
      <c r="P48" s="11" t="str">
        <f t="shared" si="18"/>
        <v xml:space="preserve">tm_drawbar, </v>
      </c>
      <c r="Q48" s="10" t="str">
        <f t="shared" si="5"/>
        <v xml:space="preserve">  {"Env/Perc 5 1/3", -1, -1, 97, NULL, NULL, tm_drawbar, 0, 127, 1},  // Idx 46</v>
      </c>
    </row>
    <row r="49" spans="1:17" x14ac:dyDescent="0.25">
      <c r="A49" s="16">
        <f t="shared" si="13"/>
        <v>47</v>
      </c>
      <c r="B49" s="37" t="s">
        <v>83</v>
      </c>
      <c r="C49" s="13">
        <v>-1</v>
      </c>
      <c r="D49" s="13">
        <v>-1</v>
      </c>
      <c r="E49" s="13"/>
      <c r="F49" s="3">
        <v>0</v>
      </c>
      <c r="G49" s="3">
        <v>127</v>
      </c>
      <c r="H49" s="7">
        <v>1</v>
      </c>
      <c r="I49" s="3">
        <v>98</v>
      </c>
      <c r="J49" s="7" t="s">
        <v>25</v>
      </c>
      <c r="K49" s="7" t="s">
        <v>8</v>
      </c>
      <c r="L49" s="7" t="s">
        <v>8</v>
      </c>
      <c r="M49" s="11" t="str">
        <f t="shared" si="21"/>
        <v xml:space="preserve">"Env/Perc 8", </v>
      </c>
      <c r="N49" s="11" t="str">
        <f t="shared" si="22"/>
        <v xml:space="preserve">NULL, </v>
      </c>
      <c r="O49" s="11" t="str">
        <f t="shared" si="3"/>
        <v xml:space="preserve">NULL, </v>
      </c>
      <c r="P49" s="11" t="str">
        <f t="shared" si="18"/>
        <v xml:space="preserve">tm_drawbar, </v>
      </c>
      <c r="Q49" s="10" t="str">
        <f t="shared" si="5"/>
        <v xml:space="preserve">  {"Env/Perc 8", -1, -1, 98, NULL, NULL, tm_drawbar, 0, 127, 1},  // Idx 47</v>
      </c>
    </row>
    <row r="50" spans="1:17" x14ac:dyDescent="0.25">
      <c r="A50" s="16">
        <f t="shared" si="13"/>
        <v>48</v>
      </c>
      <c r="B50" s="37" t="s">
        <v>84</v>
      </c>
      <c r="C50" s="13">
        <v>-1</v>
      </c>
      <c r="D50" s="13">
        <v>-1</v>
      </c>
      <c r="E50" s="13"/>
      <c r="F50" s="3">
        <v>0</v>
      </c>
      <c r="G50" s="3">
        <v>127</v>
      </c>
      <c r="H50" s="7">
        <v>1</v>
      </c>
      <c r="I50" s="3">
        <v>99</v>
      </c>
      <c r="J50" s="7" t="s">
        <v>25</v>
      </c>
      <c r="K50" s="7" t="s">
        <v>8</v>
      </c>
      <c r="L50" s="7" t="s">
        <v>8</v>
      </c>
      <c r="M50" s="11" t="str">
        <f t="shared" si="21"/>
        <v xml:space="preserve">"Env/Perc 4", </v>
      </c>
      <c r="N50" s="11" t="str">
        <f t="shared" si="22"/>
        <v xml:space="preserve">NULL, </v>
      </c>
      <c r="O50" s="11" t="str">
        <f t="shared" si="3"/>
        <v xml:space="preserve">NULL, </v>
      </c>
      <c r="P50" s="11" t="str">
        <f t="shared" si="18"/>
        <v xml:space="preserve">tm_drawbar, </v>
      </c>
      <c r="Q50" s="10" t="str">
        <f t="shared" si="5"/>
        <v xml:space="preserve">  {"Env/Perc 4", -1, -1, 99, NULL, NULL, tm_drawbar, 0, 127, 1},  // Idx 48</v>
      </c>
    </row>
    <row r="51" spans="1:17" x14ac:dyDescent="0.25">
      <c r="A51" s="16">
        <f t="shared" si="13"/>
        <v>49</v>
      </c>
      <c r="B51" s="37" t="s">
        <v>85</v>
      </c>
      <c r="C51" s="13">
        <v>-1</v>
      </c>
      <c r="D51" s="13">
        <v>-1</v>
      </c>
      <c r="E51" s="13"/>
      <c r="F51" s="3">
        <v>0</v>
      </c>
      <c r="G51" s="3">
        <v>127</v>
      </c>
      <c r="H51" s="7">
        <v>1</v>
      </c>
      <c r="I51" s="3">
        <v>100</v>
      </c>
      <c r="J51" s="7" t="s">
        <v>25</v>
      </c>
      <c r="K51" s="7" t="s">
        <v>8</v>
      </c>
      <c r="L51" s="7" t="s">
        <v>8</v>
      </c>
      <c r="M51" s="11" t="str">
        <f t="shared" si="21"/>
        <v xml:space="preserve">"Env/Perc 2 2/3", </v>
      </c>
      <c r="N51" s="11" t="str">
        <f t="shared" si="22"/>
        <v xml:space="preserve">NULL, </v>
      </c>
      <c r="O51" s="11" t="str">
        <f t="shared" si="3"/>
        <v xml:space="preserve">NULL, </v>
      </c>
      <c r="P51" s="11" t="str">
        <f t="shared" si="18"/>
        <v xml:space="preserve">tm_drawbar, </v>
      </c>
      <c r="Q51" s="10" t="str">
        <f t="shared" si="5"/>
        <v xml:space="preserve">  {"Env/Perc 2 2/3", -1, -1, 100, NULL, NULL, tm_drawbar, 0, 127, 1},  // Idx 49</v>
      </c>
    </row>
    <row r="52" spans="1:17" x14ac:dyDescent="0.25">
      <c r="A52" s="16">
        <f t="shared" si="13"/>
        <v>50</v>
      </c>
      <c r="B52" s="37" t="s">
        <v>86</v>
      </c>
      <c r="C52" s="13">
        <v>-1</v>
      </c>
      <c r="D52" s="13">
        <v>-1</v>
      </c>
      <c r="E52" s="13"/>
      <c r="F52" s="3">
        <v>0</v>
      </c>
      <c r="G52" s="3">
        <v>127</v>
      </c>
      <c r="H52" s="7">
        <v>1</v>
      </c>
      <c r="I52" s="3">
        <v>101</v>
      </c>
      <c r="J52" s="7" t="s">
        <v>25</v>
      </c>
      <c r="K52" s="7" t="s">
        <v>8</v>
      </c>
      <c r="L52" s="7" t="s">
        <v>8</v>
      </c>
      <c r="M52" s="11" t="str">
        <f t="shared" si="21"/>
        <v xml:space="preserve">"Env/Perc 2", </v>
      </c>
      <c r="N52" s="11" t="str">
        <f t="shared" si="22"/>
        <v xml:space="preserve">NULL, </v>
      </c>
      <c r="O52" s="11" t="str">
        <f t="shared" si="3"/>
        <v xml:space="preserve">NULL, </v>
      </c>
      <c r="P52" s="11" t="str">
        <f t="shared" si="18"/>
        <v xml:space="preserve">tm_drawbar, </v>
      </c>
      <c r="Q52" s="10" t="str">
        <f t="shared" si="5"/>
        <v xml:space="preserve">  {"Env/Perc 2", -1, -1, 101, NULL, NULL, tm_drawbar, 0, 127, 1},  // Idx 50</v>
      </c>
    </row>
    <row r="53" spans="1:17" x14ac:dyDescent="0.25">
      <c r="A53" s="16">
        <f t="shared" si="13"/>
        <v>51</v>
      </c>
      <c r="B53" s="37" t="s">
        <v>87</v>
      </c>
      <c r="C53" s="13">
        <v>-1</v>
      </c>
      <c r="D53" s="13">
        <v>-1</v>
      </c>
      <c r="E53" s="13"/>
      <c r="F53" s="3">
        <v>0</v>
      </c>
      <c r="G53" s="3">
        <v>127</v>
      </c>
      <c r="H53" s="7">
        <v>1</v>
      </c>
      <c r="I53" s="3">
        <v>102</v>
      </c>
      <c r="J53" s="7" t="s">
        <v>25</v>
      </c>
      <c r="K53" s="7" t="s">
        <v>8</v>
      </c>
      <c r="L53" s="7" t="s">
        <v>8</v>
      </c>
      <c r="M53" s="11" t="str">
        <f t="shared" si="21"/>
        <v xml:space="preserve">"Env/Perc 1 3/5", </v>
      </c>
      <c r="N53" s="11" t="str">
        <f t="shared" si="22"/>
        <v xml:space="preserve">NULL, </v>
      </c>
      <c r="O53" s="11" t="str">
        <f t="shared" si="3"/>
        <v xml:space="preserve">NULL, </v>
      </c>
      <c r="P53" s="11" t="str">
        <f t="shared" si="18"/>
        <v xml:space="preserve">tm_drawbar, </v>
      </c>
      <c r="Q53" s="10" t="str">
        <f t="shared" si="5"/>
        <v xml:space="preserve">  {"Env/Perc 1 3/5", -1, -1, 102, NULL, NULL, tm_drawbar, 0, 127, 1},  // Idx 51</v>
      </c>
    </row>
    <row r="54" spans="1:17" x14ac:dyDescent="0.25">
      <c r="A54" s="16">
        <f t="shared" si="13"/>
        <v>52</v>
      </c>
      <c r="B54" s="37" t="s">
        <v>88</v>
      </c>
      <c r="C54" s="13">
        <v>-1</v>
      </c>
      <c r="D54" s="13">
        <v>-1</v>
      </c>
      <c r="E54" s="13"/>
      <c r="F54" s="3">
        <v>0</v>
      </c>
      <c r="G54" s="3">
        <v>127</v>
      </c>
      <c r="H54" s="7">
        <v>1</v>
      </c>
      <c r="I54" s="3">
        <v>103</v>
      </c>
      <c r="J54" s="7" t="s">
        <v>25</v>
      </c>
      <c r="K54" s="7" t="s">
        <v>8</v>
      </c>
      <c r="L54" s="7" t="s">
        <v>8</v>
      </c>
      <c r="M54" s="11" t="str">
        <f t="shared" si="21"/>
        <v xml:space="preserve">"Env/Perc 1 1/3", </v>
      </c>
      <c r="N54" s="11" t="str">
        <f t="shared" si="22"/>
        <v xml:space="preserve">NULL, </v>
      </c>
      <c r="O54" s="11" t="str">
        <f t="shared" si="3"/>
        <v xml:space="preserve">NULL, </v>
      </c>
      <c r="P54" s="11" t="str">
        <f t="shared" si="18"/>
        <v xml:space="preserve">tm_drawbar, </v>
      </c>
      <c r="Q54" s="10" t="str">
        <f t="shared" si="5"/>
        <v xml:space="preserve">  {"Env/Perc 1 1/3", -1, -1, 103, NULL, NULL, tm_drawbar, 0, 127, 1},  // Idx 52</v>
      </c>
    </row>
    <row r="55" spans="1:17" x14ac:dyDescent="0.25">
      <c r="A55" s="16">
        <f t="shared" si="13"/>
        <v>53</v>
      </c>
      <c r="B55" s="37" t="s">
        <v>89</v>
      </c>
      <c r="C55" s="13">
        <v>-1</v>
      </c>
      <c r="D55" s="13">
        <v>-1</v>
      </c>
      <c r="E55" s="13"/>
      <c r="F55" s="3">
        <v>0</v>
      </c>
      <c r="G55" s="3">
        <v>127</v>
      </c>
      <c r="H55" s="7">
        <v>1</v>
      </c>
      <c r="I55" s="3">
        <v>104</v>
      </c>
      <c r="J55" s="7" t="s">
        <v>25</v>
      </c>
      <c r="K55" s="7" t="s">
        <v>8</v>
      </c>
      <c r="L55" s="7" t="s">
        <v>8</v>
      </c>
      <c r="M55" s="11" t="str">
        <f t="shared" si="21"/>
        <v xml:space="preserve">"Env/Perc 1", </v>
      </c>
      <c r="N55" s="11" t="str">
        <f t="shared" si="22"/>
        <v xml:space="preserve">NULL, </v>
      </c>
      <c r="O55" s="11" t="str">
        <f t="shared" si="3"/>
        <v xml:space="preserve">NULL, </v>
      </c>
      <c r="P55" s="11" t="str">
        <f t="shared" si="18"/>
        <v xml:space="preserve">tm_drawbar, </v>
      </c>
      <c r="Q55" s="10" t="str">
        <f t="shared" si="5"/>
        <v xml:space="preserve">  {"Env/Perc 1", -1, -1, 104, NULL, NULL, tm_drawbar, 0, 127, 1},  // Idx 53</v>
      </c>
    </row>
    <row r="56" spans="1:17" x14ac:dyDescent="0.25">
      <c r="A56" s="16">
        <f t="shared" si="13"/>
        <v>54</v>
      </c>
      <c r="B56" s="37" t="s">
        <v>104</v>
      </c>
      <c r="C56" s="13">
        <v>-1</v>
      </c>
      <c r="D56" s="13">
        <v>-1</v>
      </c>
      <c r="E56" s="13"/>
      <c r="F56" s="3">
        <v>0</v>
      </c>
      <c r="G56" s="3">
        <v>127</v>
      </c>
      <c r="H56" s="7">
        <v>1</v>
      </c>
      <c r="I56" s="3">
        <v>105</v>
      </c>
      <c r="J56" s="7" t="s">
        <v>25</v>
      </c>
      <c r="K56" s="7" t="s">
        <v>8</v>
      </c>
      <c r="L56" s="7" t="s">
        <v>8</v>
      </c>
      <c r="M56" s="11" t="str">
        <f t="shared" si="21"/>
        <v xml:space="preserve">"Env/Perc Mix 1", </v>
      </c>
      <c r="N56" s="11" t="str">
        <f t="shared" si="22"/>
        <v xml:space="preserve">NULL, </v>
      </c>
      <c r="O56" s="11" t="str">
        <f t="shared" si="3"/>
        <v xml:space="preserve">NULL, </v>
      </c>
      <c r="P56" s="11" t="str">
        <f t="shared" si="18"/>
        <v xml:space="preserve">tm_drawbar, </v>
      </c>
      <c r="Q56" s="10" t="str">
        <f t="shared" si="5"/>
        <v xml:space="preserve">  {"Env/Perc Mix 1", -1, -1, 105, NULL, NULL, tm_drawbar, 0, 127, 1},  // Idx 54</v>
      </c>
    </row>
    <row r="57" spans="1:17" x14ac:dyDescent="0.25">
      <c r="A57" s="16">
        <f t="shared" si="13"/>
        <v>55</v>
      </c>
      <c r="B57" s="37" t="s">
        <v>105</v>
      </c>
      <c r="C57" s="13">
        <v>-1</v>
      </c>
      <c r="D57" s="13">
        <v>-1</v>
      </c>
      <c r="E57" s="13"/>
      <c r="F57" s="3">
        <v>0</v>
      </c>
      <c r="G57" s="3">
        <v>127</v>
      </c>
      <c r="H57" s="7">
        <v>1</v>
      </c>
      <c r="I57" s="3">
        <v>106</v>
      </c>
      <c r="J57" s="7" t="s">
        <v>25</v>
      </c>
      <c r="K57" s="7" t="s">
        <v>8</v>
      </c>
      <c r="L57" s="7" t="s">
        <v>8</v>
      </c>
      <c r="M57" s="11" t="str">
        <f t="shared" si="21"/>
        <v xml:space="preserve">"Env/Perc Mix 2", </v>
      </c>
      <c r="N57" s="11" t="str">
        <f t="shared" si="22"/>
        <v xml:space="preserve">NULL, </v>
      </c>
      <c r="O57" s="11" t="str">
        <f t="shared" si="3"/>
        <v xml:space="preserve">NULL, </v>
      </c>
      <c r="P57" s="11" t="str">
        <f t="shared" si="18"/>
        <v xml:space="preserve">tm_drawbar, </v>
      </c>
      <c r="Q57" s="10" t="str">
        <f t="shared" si="5"/>
        <v xml:space="preserve">  {"Env/Perc Mix 2", -1, -1, 106, NULL, NULL, tm_drawbar, 0, 127, 1},  // Idx 55</v>
      </c>
    </row>
    <row r="58" spans="1:17" x14ac:dyDescent="0.25">
      <c r="A58" s="16">
        <f t="shared" si="13"/>
        <v>56</v>
      </c>
      <c r="B58" s="37" t="s">
        <v>106</v>
      </c>
      <c r="C58" s="13">
        <v>-1</v>
      </c>
      <c r="D58" s="13">
        <v>-1</v>
      </c>
      <c r="E58" s="13"/>
      <c r="F58" s="3">
        <v>0</v>
      </c>
      <c r="G58" s="3">
        <v>127</v>
      </c>
      <c r="H58" s="7">
        <v>1</v>
      </c>
      <c r="I58" s="3">
        <v>107</v>
      </c>
      <c r="J58" s="7" t="s">
        <v>25</v>
      </c>
      <c r="K58" s="7" t="s">
        <v>8</v>
      </c>
      <c r="L58" s="7" t="s">
        <v>8</v>
      </c>
      <c r="M58" s="11" t="str">
        <f t="shared" si="21"/>
        <v xml:space="preserve">"Env/Perc Mix 3", </v>
      </c>
      <c r="N58" s="11" t="str">
        <f t="shared" si="22"/>
        <v xml:space="preserve">NULL, </v>
      </c>
      <c r="O58" s="11" t="str">
        <f t="shared" si="3"/>
        <v xml:space="preserve">NULL, </v>
      </c>
      <c r="P58" s="11" t="str">
        <f t="shared" si="18"/>
        <v xml:space="preserve">tm_drawbar, </v>
      </c>
      <c r="Q58" s="10" t="str">
        <f t="shared" si="5"/>
        <v xml:space="preserve">  {"Env/Perc Mix 3", -1, -1, 107, NULL, NULL, tm_drawbar, 0, 127, 1},  // Idx 56</v>
      </c>
    </row>
    <row r="59" spans="1:17" x14ac:dyDescent="0.25">
      <c r="A59" s="16">
        <f t="shared" si="13"/>
        <v>57</v>
      </c>
      <c r="B59" s="37" t="s">
        <v>99</v>
      </c>
      <c r="C59" s="13">
        <v>-1</v>
      </c>
      <c r="D59" s="13">
        <v>-1</v>
      </c>
      <c r="E59" s="13"/>
      <c r="F59" s="3">
        <v>0</v>
      </c>
      <c r="G59" s="3">
        <v>127</v>
      </c>
      <c r="H59" s="7">
        <v>1</v>
      </c>
      <c r="I59" s="3">
        <v>107</v>
      </c>
      <c r="J59" s="7" t="s">
        <v>138</v>
      </c>
      <c r="K59" s="7" t="s">
        <v>8</v>
      </c>
      <c r="L59" s="7" t="s">
        <v>8</v>
      </c>
      <c r="M59" s="11" t="str">
        <f t="shared" si="21"/>
        <v xml:space="preserve">"Attack", </v>
      </c>
      <c r="N59" s="11" t="str">
        <f t="shared" si="22"/>
        <v xml:space="preserve">NULL, </v>
      </c>
      <c r="O59" s="11" t="str">
        <f t="shared" si="3"/>
        <v xml:space="preserve">NULL, </v>
      </c>
      <c r="P59" s="11" t="str">
        <f t="shared" si="18"/>
        <v xml:space="preserve">tm_pot, </v>
      </c>
      <c r="Q59" s="10" t="str">
        <f t="shared" si="5"/>
        <v xml:space="preserve">  {"Attack", -1, -1, 107, NULL, NULL, tm_pot, 0, 127, 1},  // Idx 57</v>
      </c>
    </row>
    <row r="60" spans="1:17" x14ac:dyDescent="0.25">
      <c r="A60" s="16">
        <f t="shared" si="13"/>
        <v>58</v>
      </c>
      <c r="B60" s="37" t="s">
        <v>100</v>
      </c>
      <c r="C60" s="13">
        <v>-1</v>
      </c>
      <c r="D60" s="13">
        <v>-1</v>
      </c>
      <c r="E60" s="13"/>
      <c r="F60" s="3">
        <v>0</v>
      </c>
      <c r="G60" s="3">
        <v>127</v>
      </c>
      <c r="H60" s="7">
        <v>1</v>
      </c>
      <c r="I60" s="3">
        <v>107</v>
      </c>
      <c r="J60" s="7" t="s">
        <v>138</v>
      </c>
      <c r="K60" s="7" t="s">
        <v>8</v>
      </c>
      <c r="L60" s="7" t="s">
        <v>8</v>
      </c>
      <c r="M60" s="11" t="str">
        <f t="shared" si="21"/>
        <v xml:space="preserve">"Decay", </v>
      </c>
      <c r="N60" s="11" t="str">
        <f t="shared" si="22"/>
        <v xml:space="preserve">NULL, </v>
      </c>
      <c r="O60" s="11" t="str">
        <f t="shared" si="3"/>
        <v xml:space="preserve">NULL, </v>
      </c>
      <c r="P60" s="11" t="str">
        <f t="shared" si="18"/>
        <v xml:space="preserve">tm_pot, </v>
      </c>
      <c r="Q60" s="10" t="str">
        <f t="shared" si="5"/>
        <v xml:space="preserve">  {"Decay", -1, -1, 107, NULL, NULL, tm_pot, 0, 127, 1},  // Idx 58</v>
      </c>
    </row>
    <row r="61" spans="1:17" x14ac:dyDescent="0.25">
      <c r="A61" s="16">
        <f t="shared" si="13"/>
        <v>59</v>
      </c>
      <c r="B61" s="37" t="s">
        <v>101</v>
      </c>
      <c r="C61" s="13">
        <v>-1</v>
      </c>
      <c r="D61" s="13">
        <v>-1</v>
      </c>
      <c r="E61" s="13"/>
      <c r="F61" s="3">
        <v>0</v>
      </c>
      <c r="G61" s="3">
        <v>127</v>
      </c>
      <c r="H61" s="7">
        <v>1</v>
      </c>
      <c r="I61" s="3">
        <v>107</v>
      </c>
      <c r="J61" s="7" t="s">
        <v>138</v>
      </c>
      <c r="K61" s="7" t="s">
        <v>8</v>
      </c>
      <c r="L61" s="7" t="s">
        <v>8</v>
      </c>
      <c r="M61" s="11" t="str">
        <f t="shared" si="21"/>
        <v xml:space="preserve">"Sustain", </v>
      </c>
      <c r="N61" s="11" t="str">
        <f t="shared" si="22"/>
        <v xml:space="preserve">NULL, </v>
      </c>
      <c r="O61" s="11" t="str">
        <f t="shared" si="3"/>
        <v xml:space="preserve">NULL, </v>
      </c>
      <c r="P61" s="11" t="str">
        <f t="shared" si="18"/>
        <v xml:space="preserve">tm_pot, </v>
      </c>
      <c r="Q61" s="10" t="str">
        <f t="shared" si="5"/>
        <v xml:space="preserve">  {"Sustain", -1, -1, 107, NULL, NULL, tm_pot, 0, 127, 1},  // Idx 59</v>
      </c>
    </row>
    <row r="62" spans="1:17" x14ac:dyDescent="0.25">
      <c r="A62" s="16">
        <f t="shared" si="13"/>
        <v>60</v>
      </c>
      <c r="B62" s="37" t="s">
        <v>102</v>
      </c>
      <c r="C62" s="13">
        <v>-1</v>
      </c>
      <c r="D62" s="13">
        <v>-1</v>
      </c>
      <c r="E62" s="13"/>
      <c r="F62" s="3">
        <v>0</v>
      </c>
      <c r="G62" s="3">
        <v>127</v>
      </c>
      <c r="H62" s="7">
        <v>1</v>
      </c>
      <c r="I62" s="3">
        <v>107</v>
      </c>
      <c r="J62" s="7" t="s">
        <v>138</v>
      </c>
      <c r="K62" s="7" t="s">
        <v>8</v>
      </c>
      <c r="L62" s="7" t="s">
        <v>8</v>
      </c>
      <c r="M62" s="11" t="str">
        <f t="shared" si="21"/>
        <v xml:space="preserve">"Release", </v>
      </c>
      <c r="N62" s="11" t="str">
        <f t="shared" si="22"/>
        <v xml:space="preserve">NULL, </v>
      </c>
      <c r="O62" s="11" t="str">
        <f t="shared" si="3"/>
        <v xml:space="preserve">NULL, </v>
      </c>
      <c r="P62" s="11" t="str">
        <f t="shared" si="18"/>
        <v xml:space="preserve">tm_pot, </v>
      </c>
      <c r="Q62" s="10" t="str">
        <f t="shared" si="5"/>
        <v xml:space="preserve">  {"Release", -1, -1, 107, NULL, NULL, tm_pot, 0, 127, 1},  // Idx 60</v>
      </c>
    </row>
    <row r="63" spans="1:17" x14ac:dyDescent="0.25">
      <c r="A63" s="16">
        <f t="shared" si="13"/>
        <v>61</v>
      </c>
      <c r="B63" s="37" t="s">
        <v>103</v>
      </c>
      <c r="C63" s="13">
        <v>-1</v>
      </c>
      <c r="D63" s="13">
        <v>-1</v>
      </c>
      <c r="E63" s="13"/>
      <c r="F63" s="3">
        <v>0</v>
      </c>
      <c r="G63" s="3">
        <v>127</v>
      </c>
      <c r="H63" s="7">
        <v>1</v>
      </c>
      <c r="I63" s="3">
        <v>107</v>
      </c>
      <c r="J63" s="7" t="s">
        <v>138</v>
      </c>
      <c r="K63" s="7" t="s">
        <v>8</v>
      </c>
      <c r="L63" s="7" t="s">
        <v>8</v>
      </c>
      <c r="M63" s="11" t="str">
        <f t="shared" si="21"/>
        <v xml:space="preserve">"ADSR Harmonic", </v>
      </c>
      <c r="N63" s="11" t="str">
        <f t="shared" si="22"/>
        <v xml:space="preserve">NULL, </v>
      </c>
      <c r="O63" s="11" t="str">
        <f t="shared" si="3"/>
        <v xml:space="preserve">NULL, </v>
      </c>
      <c r="P63" s="11" t="str">
        <f t="shared" si="18"/>
        <v xml:space="preserve">tm_pot, </v>
      </c>
      <c r="Q63" s="10" t="str">
        <f t="shared" si="5"/>
        <v xml:space="preserve">  {"ADSR Harmonic", -1, -1, 107, NULL, NULL, tm_pot, 0, 127, 1},  // Idx 61</v>
      </c>
    </row>
    <row r="64" spans="1:17" x14ac:dyDescent="0.25">
      <c r="A64" s="16">
        <f t="shared" ref="A64:A125" si="23">A63+1</f>
        <v>62</v>
      </c>
      <c r="B64" s="37" t="s">
        <v>90</v>
      </c>
      <c r="C64" s="13">
        <v>-1</v>
      </c>
      <c r="D64" s="13">
        <v>-1</v>
      </c>
      <c r="E64" s="13"/>
      <c r="F64" s="3">
        <v>0</v>
      </c>
      <c r="G64" s="3">
        <v>1</v>
      </c>
      <c r="H64" s="7">
        <v>1</v>
      </c>
      <c r="I64" s="3">
        <v>160</v>
      </c>
      <c r="J64" s="7" t="s">
        <v>26</v>
      </c>
      <c r="K64" s="7" t="s">
        <v>8</v>
      </c>
      <c r="L64" s="7" t="s">
        <v>8</v>
      </c>
      <c r="M64" s="11" t="str">
        <f t="shared" si="21"/>
        <v xml:space="preserve">"ADSR on 16", </v>
      </c>
      <c r="N64" s="11" t="str">
        <f t="shared" si="22"/>
        <v xml:space="preserve">NULL, </v>
      </c>
      <c r="O64" s="11" t="str">
        <f t="shared" si="3"/>
        <v xml:space="preserve">NULL, </v>
      </c>
      <c r="P64" s="11" t="str">
        <f t="shared" si="18"/>
        <v xml:space="preserve">tm_tab, </v>
      </c>
      <c r="Q64" s="10" t="str">
        <f t="shared" si="5"/>
        <v xml:space="preserve">  {"ADSR on 16", -1, -1, 160, NULL, NULL, tm_tab, 0, 1, 1},  // Idx 62</v>
      </c>
    </row>
    <row r="65" spans="1:17" x14ac:dyDescent="0.25">
      <c r="A65" s="16">
        <f t="shared" si="23"/>
        <v>63</v>
      </c>
      <c r="B65" s="37" t="s">
        <v>91</v>
      </c>
      <c r="C65" s="13">
        <v>-1</v>
      </c>
      <c r="D65" s="13">
        <v>-1</v>
      </c>
      <c r="E65" s="13"/>
      <c r="F65" s="3">
        <v>0</v>
      </c>
      <c r="G65" s="3">
        <v>1</v>
      </c>
      <c r="H65" s="7">
        <v>1</v>
      </c>
      <c r="I65" s="3">
        <v>161</v>
      </c>
      <c r="J65" s="7" t="s">
        <v>26</v>
      </c>
      <c r="K65" s="7" t="s">
        <v>8</v>
      </c>
      <c r="L65" s="7" t="s">
        <v>8</v>
      </c>
      <c r="M65" s="11" t="str">
        <f t="shared" si="21"/>
        <v xml:space="preserve">"ADSR on 5 1/3", </v>
      </c>
      <c r="N65" s="11" t="str">
        <f t="shared" si="22"/>
        <v xml:space="preserve">NULL, </v>
      </c>
      <c r="O65" s="11" t="str">
        <f t="shared" si="3"/>
        <v xml:space="preserve">NULL, </v>
      </c>
      <c r="P65" s="11" t="str">
        <f t="shared" si="18"/>
        <v xml:space="preserve">tm_tab, </v>
      </c>
      <c r="Q65" s="10" t="str">
        <f t="shared" si="5"/>
        <v xml:space="preserve">  {"ADSR on 5 1/3", -1, -1, 161, NULL, NULL, tm_tab, 0, 1, 1},  // Idx 63</v>
      </c>
    </row>
    <row r="66" spans="1:17" x14ac:dyDescent="0.25">
      <c r="A66" s="16">
        <f t="shared" si="23"/>
        <v>64</v>
      </c>
      <c r="B66" s="37" t="s">
        <v>92</v>
      </c>
      <c r="C66" s="13">
        <v>-1</v>
      </c>
      <c r="D66" s="13">
        <v>-1</v>
      </c>
      <c r="E66" s="13"/>
      <c r="F66" s="3">
        <v>0</v>
      </c>
      <c r="G66" s="3">
        <v>1</v>
      </c>
      <c r="H66" s="7">
        <v>1</v>
      </c>
      <c r="I66" s="3">
        <v>162</v>
      </c>
      <c r="J66" s="7" t="s">
        <v>26</v>
      </c>
      <c r="K66" s="7" t="s">
        <v>8</v>
      </c>
      <c r="L66" s="7" t="s">
        <v>8</v>
      </c>
      <c r="M66" s="11" t="str">
        <f t="shared" si="21"/>
        <v xml:space="preserve">"ADSR on 8", </v>
      </c>
      <c r="N66" s="11" t="str">
        <f t="shared" si="22"/>
        <v xml:space="preserve">NULL, </v>
      </c>
      <c r="O66" s="11" t="str">
        <f t="shared" si="3"/>
        <v xml:space="preserve">NULL, </v>
      </c>
      <c r="P66" s="11" t="str">
        <f t="shared" si="18"/>
        <v xml:space="preserve">tm_tab, </v>
      </c>
      <c r="Q66" s="10" t="str">
        <f t="shared" si="5"/>
        <v xml:space="preserve">  {"ADSR on 8", -1, -1, 162, NULL, NULL, tm_tab, 0, 1, 1},  // Idx 64</v>
      </c>
    </row>
    <row r="67" spans="1:17" x14ac:dyDescent="0.25">
      <c r="A67" s="16">
        <f t="shared" si="23"/>
        <v>65</v>
      </c>
      <c r="B67" s="37" t="s">
        <v>93</v>
      </c>
      <c r="C67" s="13">
        <v>-1</v>
      </c>
      <c r="D67" s="13">
        <v>-1</v>
      </c>
      <c r="E67" s="13"/>
      <c r="F67" s="3">
        <v>0</v>
      </c>
      <c r="G67" s="3">
        <v>1</v>
      </c>
      <c r="H67" s="7">
        <v>1</v>
      </c>
      <c r="I67" s="3">
        <v>163</v>
      </c>
      <c r="J67" s="7" t="s">
        <v>26</v>
      </c>
      <c r="K67" s="7" t="s">
        <v>8</v>
      </c>
      <c r="L67" s="7" t="s">
        <v>8</v>
      </c>
      <c r="M67" s="11" t="str">
        <f t="shared" si="21"/>
        <v xml:space="preserve">"ADSR on 4", </v>
      </c>
      <c r="N67" s="11" t="str">
        <f t="shared" si="22"/>
        <v xml:space="preserve">NULL, </v>
      </c>
      <c r="O67" s="11" t="str">
        <f t="shared" ref="O67:O130" si="24">IF(L67="NULL",CONCATENATE(L67,", "),CONCATENATE("&amp;",L67,", "))</f>
        <v xml:space="preserve">NULL, </v>
      </c>
      <c r="P67" s="11" t="str">
        <f t="shared" ref="P67:P98" si="25">IF(J67="NULL",CONCATENATE(J67,", "),CONCATENATE("tm_",J67,", "))</f>
        <v xml:space="preserve">tm_tab, </v>
      </c>
      <c r="Q67" s="10" t="str">
        <f t="shared" ref="Q67:Q130" si="26">CONCATENATE("  {",M67,C67,", ",D67,", ",I67,", ",N67,O67,P67,F67,", ",G67,", ",H67,"},  // Idx ", A67)</f>
        <v xml:space="preserve">  {"ADSR on 4", -1, -1, 163, NULL, NULL, tm_tab, 0, 1, 1},  // Idx 65</v>
      </c>
    </row>
    <row r="68" spans="1:17" x14ac:dyDescent="0.25">
      <c r="A68" s="16">
        <f t="shared" si="23"/>
        <v>66</v>
      </c>
      <c r="B68" s="37" t="s">
        <v>94</v>
      </c>
      <c r="C68" s="13">
        <v>-1</v>
      </c>
      <c r="D68" s="13">
        <v>-1</v>
      </c>
      <c r="E68" s="13"/>
      <c r="F68" s="3">
        <v>0</v>
      </c>
      <c r="G68" s="3">
        <v>1</v>
      </c>
      <c r="H68" s="7">
        <v>1</v>
      </c>
      <c r="I68" s="3">
        <v>164</v>
      </c>
      <c r="J68" s="7" t="s">
        <v>26</v>
      </c>
      <c r="K68" s="7" t="s">
        <v>8</v>
      </c>
      <c r="L68" s="7" t="s">
        <v>8</v>
      </c>
      <c r="M68" s="11" t="str">
        <f t="shared" si="21"/>
        <v xml:space="preserve">"ADSR on 2 2/3", </v>
      </c>
      <c r="N68" s="11" t="str">
        <f t="shared" si="22"/>
        <v xml:space="preserve">NULL, </v>
      </c>
      <c r="O68" s="11" t="str">
        <f t="shared" si="24"/>
        <v xml:space="preserve">NULL, </v>
      </c>
      <c r="P68" s="11" t="str">
        <f t="shared" si="25"/>
        <v xml:space="preserve">tm_tab, </v>
      </c>
      <c r="Q68" s="10" t="str">
        <f t="shared" si="26"/>
        <v xml:space="preserve">  {"ADSR on 2 2/3", -1, -1, 164, NULL, NULL, tm_tab, 0, 1, 1},  // Idx 66</v>
      </c>
    </row>
    <row r="69" spans="1:17" x14ac:dyDescent="0.25">
      <c r="A69" s="16">
        <f t="shared" si="23"/>
        <v>67</v>
      </c>
      <c r="B69" s="37" t="s">
        <v>95</v>
      </c>
      <c r="C69" s="13">
        <v>-1</v>
      </c>
      <c r="D69" s="13">
        <v>-1</v>
      </c>
      <c r="E69" s="13"/>
      <c r="F69" s="3">
        <v>0</v>
      </c>
      <c r="G69" s="3">
        <v>1</v>
      </c>
      <c r="H69" s="7">
        <v>1</v>
      </c>
      <c r="I69" s="3">
        <v>165</v>
      </c>
      <c r="J69" s="7" t="s">
        <v>26</v>
      </c>
      <c r="K69" s="7" t="s">
        <v>8</v>
      </c>
      <c r="L69" s="7" t="s">
        <v>8</v>
      </c>
      <c r="M69" s="11" t="str">
        <f t="shared" si="21"/>
        <v xml:space="preserve">"ADSR on 2", </v>
      </c>
      <c r="N69" s="11" t="str">
        <f t="shared" si="22"/>
        <v xml:space="preserve">NULL, </v>
      </c>
      <c r="O69" s="11" t="str">
        <f t="shared" si="24"/>
        <v xml:space="preserve">NULL, </v>
      </c>
      <c r="P69" s="11" t="str">
        <f t="shared" si="25"/>
        <v xml:space="preserve">tm_tab, </v>
      </c>
      <c r="Q69" s="10" t="str">
        <f t="shared" si="26"/>
        <v xml:space="preserve">  {"ADSR on 2", -1, -1, 165, NULL, NULL, tm_tab, 0, 1, 1},  // Idx 67</v>
      </c>
    </row>
    <row r="70" spans="1:17" x14ac:dyDescent="0.25">
      <c r="A70" s="16">
        <f t="shared" si="23"/>
        <v>68</v>
      </c>
      <c r="B70" s="37" t="s">
        <v>96</v>
      </c>
      <c r="C70" s="13">
        <v>-1</v>
      </c>
      <c r="D70" s="13">
        <v>-1</v>
      </c>
      <c r="E70" s="13"/>
      <c r="F70" s="3">
        <v>0</v>
      </c>
      <c r="G70" s="3">
        <v>1</v>
      </c>
      <c r="H70" s="7">
        <v>1</v>
      </c>
      <c r="I70" s="3">
        <v>166</v>
      </c>
      <c r="J70" s="7" t="s">
        <v>26</v>
      </c>
      <c r="K70" s="7" t="s">
        <v>8</v>
      </c>
      <c r="L70" s="7" t="s">
        <v>8</v>
      </c>
      <c r="M70" s="11" t="str">
        <f t="shared" si="21"/>
        <v xml:space="preserve">"ADSR on 1 3/5", </v>
      </c>
      <c r="N70" s="11" t="str">
        <f t="shared" si="22"/>
        <v xml:space="preserve">NULL, </v>
      </c>
      <c r="O70" s="11" t="str">
        <f t="shared" si="24"/>
        <v xml:space="preserve">NULL, </v>
      </c>
      <c r="P70" s="11" t="str">
        <f t="shared" si="25"/>
        <v xml:space="preserve">tm_tab, </v>
      </c>
      <c r="Q70" s="10" t="str">
        <f t="shared" si="26"/>
        <v xml:space="preserve">  {"ADSR on 1 3/5", -1, -1, 166, NULL, NULL, tm_tab, 0, 1, 1},  // Idx 68</v>
      </c>
    </row>
    <row r="71" spans="1:17" x14ac:dyDescent="0.25">
      <c r="A71" s="16">
        <f t="shared" si="23"/>
        <v>69</v>
      </c>
      <c r="B71" s="37" t="s">
        <v>97</v>
      </c>
      <c r="C71" s="13">
        <v>-1</v>
      </c>
      <c r="D71" s="13">
        <v>-1</v>
      </c>
      <c r="E71" s="13"/>
      <c r="F71" s="3">
        <v>0</v>
      </c>
      <c r="G71" s="3">
        <v>1</v>
      </c>
      <c r="H71" s="7">
        <v>1</v>
      </c>
      <c r="I71" s="3">
        <v>167</v>
      </c>
      <c r="J71" s="7" t="s">
        <v>26</v>
      </c>
      <c r="K71" s="7" t="s">
        <v>8</v>
      </c>
      <c r="L71" s="7" t="s">
        <v>8</v>
      </c>
      <c r="M71" s="11" t="str">
        <f t="shared" si="21"/>
        <v xml:space="preserve">"ADSR on 1 1/3", </v>
      </c>
      <c r="N71" s="11" t="str">
        <f t="shared" si="22"/>
        <v xml:space="preserve">NULL, </v>
      </c>
      <c r="O71" s="11" t="str">
        <f t="shared" si="24"/>
        <v xml:space="preserve">NULL, </v>
      </c>
      <c r="P71" s="11" t="str">
        <f t="shared" si="25"/>
        <v xml:space="preserve">tm_tab, </v>
      </c>
      <c r="Q71" s="10" t="str">
        <f t="shared" si="26"/>
        <v xml:space="preserve">  {"ADSR on 1 1/3", -1, -1, 167, NULL, NULL, tm_tab, 0, 1, 1},  // Idx 69</v>
      </c>
    </row>
    <row r="72" spans="1:17" x14ac:dyDescent="0.25">
      <c r="A72" s="16">
        <f t="shared" si="23"/>
        <v>70</v>
      </c>
      <c r="B72" s="37" t="s">
        <v>98</v>
      </c>
      <c r="C72" s="13">
        <v>-1</v>
      </c>
      <c r="D72" s="13">
        <v>-1</v>
      </c>
      <c r="E72" s="13"/>
      <c r="F72" s="3">
        <v>0</v>
      </c>
      <c r="G72" s="3">
        <v>1</v>
      </c>
      <c r="H72" s="7">
        <v>1</v>
      </c>
      <c r="I72" s="3">
        <v>168</v>
      </c>
      <c r="J72" s="7" t="s">
        <v>26</v>
      </c>
      <c r="K72" s="7" t="s">
        <v>8</v>
      </c>
      <c r="L72" s="7" t="s">
        <v>8</v>
      </c>
      <c r="M72" s="11" t="str">
        <f t="shared" si="21"/>
        <v xml:space="preserve">"ADSR on 1", </v>
      </c>
      <c r="N72" s="11" t="str">
        <f t="shared" si="22"/>
        <v xml:space="preserve">NULL, </v>
      </c>
      <c r="O72" s="11" t="str">
        <f t="shared" si="24"/>
        <v xml:space="preserve">NULL, </v>
      </c>
      <c r="P72" s="11" t="str">
        <f t="shared" si="25"/>
        <v xml:space="preserve">tm_tab, </v>
      </c>
      <c r="Q72" s="10" t="str">
        <f t="shared" si="26"/>
        <v xml:space="preserve">  {"ADSR on 1", -1, -1, 168, NULL, NULL, tm_tab, 0, 1, 1},  // Idx 70</v>
      </c>
    </row>
    <row r="73" spans="1:17" x14ac:dyDescent="0.25">
      <c r="A73" s="16">
        <f t="shared" si="23"/>
        <v>71</v>
      </c>
      <c r="B73" s="37" t="s">
        <v>107</v>
      </c>
      <c r="C73" s="13">
        <v>-1</v>
      </c>
      <c r="D73" s="13">
        <v>-1</v>
      </c>
      <c r="E73" s="13"/>
      <c r="F73" s="3">
        <v>0</v>
      </c>
      <c r="G73" s="3">
        <v>1</v>
      </c>
      <c r="H73" s="7">
        <v>1</v>
      </c>
      <c r="I73" s="3">
        <v>169</v>
      </c>
      <c r="J73" s="7" t="s">
        <v>26</v>
      </c>
      <c r="K73" s="7" t="s">
        <v>8</v>
      </c>
      <c r="L73" s="7" t="s">
        <v>8</v>
      </c>
      <c r="M73" s="11" t="str">
        <f t="shared" si="21"/>
        <v xml:space="preserve">"ADSR on Mix 1", </v>
      </c>
      <c r="N73" s="11" t="str">
        <f t="shared" si="22"/>
        <v xml:space="preserve">NULL, </v>
      </c>
      <c r="O73" s="11" t="str">
        <f t="shared" si="24"/>
        <v xml:space="preserve">NULL, </v>
      </c>
      <c r="P73" s="11" t="str">
        <f t="shared" si="25"/>
        <v xml:space="preserve">tm_tab, </v>
      </c>
      <c r="Q73" s="10" t="str">
        <f t="shared" si="26"/>
        <v xml:space="preserve">  {"ADSR on Mix 1", -1, -1, 169, NULL, NULL, tm_tab, 0, 1, 1},  // Idx 71</v>
      </c>
    </row>
    <row r="74" spans="1:17" x14ac:dyDescent="0.25">
      <c r="A74" s="16">
        <f t="shared" si="23"/>
        <v>72</v>
      </c>
      <c r="B74" s="37" t="s">
        <v>108</v>
      </c>
      <c r="C74" s="13">
        <v>-1</v>
      </c>
      <c r="D74" s="13">
        <v>-1</v>
      </c>
      <c r="E74" s="13"/>
      <c r="F74" s="3">
        <v>0</v>
      </c>
      <c r="G74" s="3">
        <v>1</v>
      </c>
      <c r="H74" s="7">
        <v>1</v>
      </c>
      <c r="I74" s="3">
        <v>170</v>
      </c>
      <c r="J74" s="7" t="s">
        <v>26</v>
      </c>
      <c r="K74" s="7" t="s">
        <v>8</v>
      </c>
      <c r="L74" s="7" t="s">
        <v>8</v>
      </c>
      <c r="M74" s="11" t="str">
        <f t="shared" si="21"/>
        <v xml:space="preserve">"ADSR on Mix 2", </v>
      </c>
      <c r="N74" s="11" t="str">
        <f t="shared" si="22"/>
        <v xml:space="preserve">NULL, </v>
      </c>
      <c r="O74" s="11" t="str">
        <f t="shared" si="24"/>
        <v xml:space="preserve">NULL, </v>
      </c>
      <c r="P74" s="11" t="str">
        <f t="shared" si="25"/>
        <v xml:space="preserve">tm_tab, </v>
      </c>
      <c r="Q74" s="10" t="str">
        <f t="shared" si="26"/>
        <v xml:space="preserve">  {"ADSR on Mix 2", -1, -1, 170, NULL, NULL, tm_tab, 0, 1, 1},  // Idx 72</v>
      </c>
    </row>
    <row r="75" spans="1:17" x14ac:dyDescent="0.25">
      <c r="A75" s="16">
        <f t="shared" si="23"/>
        <v>73</v>
      </c>
      <c r="B75" s="37" t="s">
        <v>109</v>
      </c>
      <c r="C75" s="13">
        <v>-1</v>
      </c>
      <c r="D75" s="13">
        <v>-1</v>
      </c>
      <c r="E75" s="13"/>
      <c r="F75" s="3">
        <v>0</v>
      </c>
      <c r="G75" s="3">
        <v>1</v>
      </c>
      <c r="H75" s="7">
        <v>1</v>
      </c>
      <c r="I75" s="3">
        <v>171</v>
      </c>
      <c r="J75" s="7" t="s">
        <v>26</v>
      </c>
      <c r="K75" s="7" t="s">
        <v>8</v>
      </c>
      <c r="L75" s="7" t="s">
        <v>8</v>
      </c>
      <c r="M75" s="11" t="str">
        <f t="shared" si="21"/>
        <v xml:space="preserve">"ADSR on Mix 3", </v>
      </c>
      <c r="N75" s="11" t="str">
        <f t="shared" si="22"/>
        <v xml:space="preserve">NULL, </v>
      </c>
      <c r="O75" s="11" t="str">
        <f t="shared" si="24"/>
        <v xml:space="preserve">NULL, </v>
      </c>
      <c r="P75" s="11" t="str">
        <f t="shared" si="25"/>
        <v xml:space="preserve">tm_tab, </v>
      </c>
      <c r="Q75" s="10" t="str">
        <f t="shared" si="26"/>
        <v xml:space="preserve">  {"ADSR on Mix 3", -1, -1, 171, NULL, NULL, tm_tab, 0, 1, 1},  // Idx 73</v>
      </c>
    </row>
    <row r="76" spans="1:17" x14ac:dyDescent="0.25">
      <c r="A76" s="16">
        <f t="shared" si="23"/>
        <v>74</v>
      </c>
      <c r="B76" s="9" t="s">
        <v>62</v>
      </c>
      <c r="C76" s="13">
        <v>-1</v>
      </c>
      <c r="D76" s="13">
        <v>-1</v>
      </c>
      <c r="E76" s="13"/>
      <c r="F76" s="3">
        <v>0</v>
      </c>
      <c r="G76" s="3">
        <v>127</v>
      </c>
      <c r="H76" s="7">
        <v>0</v>
      </c>
      <c r="I76" s="3">
        <v>16</v>
      </c>
      <c r="J76" s="7" t="s">
        <v>25</v>
      </c>
      <c r="K76" s="7" t="s">
        <v>8</v>
      </c>
      <c r="L76" s="7" t="s">
        <v>165</v>
      </c>
      <c r="M76" s="11" t="str">
        <f t="shared" si="19"/>
        <v xml:space="preserve">"Drawbar 16", </v>
      </c>
      <c r="N76" s="11" t="str">
        <f t="shared" si="20"/>
        <v xml:space="preserve">NULL, </v>
      </c>
      <c r="O76" s="11" t="str">
        <f t="shared" si="24"/>
        <v xml:space="preserve">&amp;saveLower, </v>
      </c>
      <c r="P76" s="11" t="str">
        <f t="shared" si="25"/>
        <v xml:space="preserve">tm_drawbar, </v>
      </c>
      <c r="Q76" s="10" t="str">
        <f t="shared" si="26"/>
        <v xml:space="preserve">  {"Drawbar 16", -1, -1, 16, NULL, &amp;saveLower, tm_drawbar, 0, 127, 0},  // Idx 74</v>
      </c>
    </row>
    <row r="77" spans="1:17" x14ac:dyDescent="0.25">
      <c r="A77" s="16">
        <f t="shared" si="23"/>
        <v>75</v>
      </c>
      <c r="B77" s="9" t="s">
        <v>63</v>
      </c>
      <c r="C77" s="13">
        <v>-1</v>
      </c>
      <c r="D77" s="13">
        <v>-1</v>
      </c>
      <c r="E77" s="13"/>
      <c r="F77" s="3">
        <v>0</v>
      </c>
      <c r="G77" s="3">
        <v>127</v>
      </c>
      <c r="H77" s="7">
        <v>0</v>
      </c>
      <c r="I77" s="3">
        <v>17</v>
      </c>
      <c r="J77" s="7" t="s">
        <v>25</v>
      </c>
      <c r="K77" s="7" t="s">
        <v>8</v>
      </c>
      <c r="L77" s="7" t="s">
        <v>165</v>
      </c>
      <c r="M77" s="11" t="str">
        <f t="shared" si="19"/>
        <v xml:space="preserve">"Drawbar 5 1/3", </v>
      </c>
      <c r="N77" s="11" t="str">
        <f t="shared" si="20"/>
        <v xml:space="preserve">NULL, </v>
      </c>
      <c r="O77" s="11" t="str">
        <f t="shared" si="24"/>
        <v xml:space="preserve">&amp;saveLower, </v>
      </c>
      <c r="P77" s="11" t="str">
        <f t="shared" si="25"/>
        <v xml:space="preserve">tm_drawbar, </v>
      </c>
      <c r="Q77" s="10" t="str">
        <f t="shared" si="26"/>
        <v xml:space="preserve">  {"Drawbar 5 1/3", -1, -1, 17, NULL, &amp;saveLower, tm_drawbar, 0, 127, 0},  // Idx 75</v>
      </c>
    </row>
    <row r="78" spans="1:17" x14ac:dyDescent="0.25">
      <c r="A78" s="16">
        <f t="shared" si="23"/>
        <v>76</v>
      </c>
      <c r="B78" s="9" t="s">
        <v>64</v>
      </c>
      <c r="C78" s="13">
        <v>-1</v>
      </c>
      <c r="D78" s="13">
        <v>-1</v>
      </c>
      <c r="E78" s="13"/>
      <c r="F78" s="3">
        <v>0</v>
      </c>
      <c r="G78" s="3">
        <v>127</v>
      </c>
      <c r="H78" s="7">
        <v>0</v>
      </c>
      <c r="I78" s="3">
        <v>18</v>
      </c>
      <c r="J78" s="7" t="s">
        <v>25</v>
      </c>
      <c r="K78" s="7" t="s">
        <v>8</v>
      </c>
      <c r="L78" s="7" t="s">
        <v>165</v>
      </c>
      <c r="M78" s="11" t="str">
        <f t="shared" si="19"/>
        <v xml:space="preserve">"Drawbar 8", </v>
      </c>
      <c r="N78" s="11" t="str">
        <f t="shared" si="20"/>
        <v xml:space="preserve">NULL, </v>
      </c>
      <c r="O78" s="11" t="str">
        <f t="shared" si="24"/>
        <v xml:space="preserve">&amp;saveLower, </v>
      </c>
      <c r="P78" s="11" t="str">
        <f t="shared" si="25"/>
        <v xml:space="preserve">tm_drawbar, </v>
      </c>
      <c r="Q78" s="10" t="str">
        <f t="shared" si="26"/>
        <v xml:space="preserve">  {"Drawbar 8", -1, -1, 18, NULL, &amp;saveLower, tm_drawbar, 0, 127, 0},  // Idx 76</v>
      </c>
    </row>
    <row r="79" spans="1:17" x14ac:dyDescent="0.25">
      <c r="A79" s="16">
        <f t="shared" si="23"/>
        <v>77</v>
      </c>
      <c r="B79" s="9" t="s">
        <v>65</v>
      </c>
      <c r="C79" s="13">
        <v>-1</v>
      </c>
      <c r="D79" s="13">
        <v>-1</v>
      </c>
      <c r="E79" s="13"/>
      <c r="F79" s="3">
        <v>0</v>
      </c>
      <c r="G79" s="3">
        <v>127</v>
      </c>
      <c r="H79" s="7">
        <v>0</v>
      </c>
      <c r="I79" s="3">
        <v>19</v>
      </c>
      <c r="J79" s="7" t="s">
        <v>25</v>
      </c>
      <c r="K79" s="7" t="s">
        <v>8</v>
      </c>
      <c r="L79" s="7" t="s">
        <v>165</v>
      </c>
      <c r="M79" s="11" t="str">
        <f t="shared" si="19"/>
        <v xml:space="preserve">"Drawbar 4", </v>
      </c>
      <c r="N79" s="11" t="str">
        <f t="shared" si="20"/>
        <v xml:space="preserve">NULL, </v>
      </c>
      <c r="O79" s="11" t="str">
        <f t="shared" si="24"/>
        <v xml:space="preserve">&amp;saveLower, </v>
      </c>
      <c r="P79" s="11" t="str">
        <f t="shared" si="25"/>
        <v xml:space="preserve">tm_drawbar, </v>
      </c>
      <c r="Q79" s="10" t="str">
        <f t="shared" si="26"/>
        <v xml:space="preserve">  {"Drawbar 4", -1, -1, 19, NULL, &amp;saveLower, tm_drawbar, 0, 127, 0},  // Idx 77</v>
      </c>
    </row>
    <row r="80" spans="1:17" x14ac:dyDescent="0.25">
      <c r="A80" s="16">
        <f t="shared" si="23"/>
        <v>78</v>
      </c>
      <c r="B80" s="9" t="s">
        <v>66</v>
      </c>
      <c r="C80" s="13">
        <v>-1</v>
      </c>
      <c r="D80" s="13">
        <v>-1</v>
      </c>
      <c r="E80" s="13"/>
      <c r="F80" s="3">
        <v>0</v>
      </c>
      <c r="G80" s="3">
        <v>127</v>
      </c>
      <c r="H80" s="7">
        <v>0</v>
      </c>
      <c r="I80" s="3">
        <v>20</v>
      </c>
      <c r="J80" s="7" t="s">
        <v>25</v>
      </c>
      <c r="K80" s="7" t="s">
        <v>8</v>
      </c>
      <c r="L80" s="7" t="s">
        <v>165</v>
      </c>
      <c r="M80" s="11" t="str">
        <f t="shared" si="19"/>
        <v xml:space="preserve">"Drawbar 2 2/3", </v>
      </c>
      <c r="N80" s="11" t="str">
        <f t="shared" si="20"/>
        <v xml:space="preserve">NULL, </v>
      </c>
      <c r="O80" s="11" t="str">
        <f t="shared" si="24"/>
        <v xml:space="preserve">&amp;saveLower, </v>
      </c>
      <c r="P80" s="11" t="str">
        <f t="shared" si="25"/>
        <v xml:space="preserve">tm_drawbar, </v>
      </c>
      <c r="Q80" s="10" t="str">
        <f t="shared" si="26"/>
        <v xml:space="preserve">  {"Drawbar 2 2/3", -1, -1, 20, NULL, &amp;saveLower, tm_drawbar, 0, 127, 0},  // Idx 78</v>
      </c>
    </row>
    <row r="81" spans="1:17" x14ac:dyDescent="0.25">
      <c r="A81" s="16">
        <f t="shared" si="23"/>
        <v>79</v>
      </c>
      <c r="B81" s="9" t="s">
        <v>67</v>
      </c>
      <c r="C81" s="13">
        <v>-1</v>
      </c>
      <c r="D81" s="13">
        <v>-1</v>
      </c>
      <c r="E81" s="13"/>
      <c r="F81" s="3">
        <v>0</v>
      </c>
      <c r="G81" s="3">
        <v>127</v>
      </c>
      <c r="H81" s="7">
        <v>0</v>
      </c>
      <c r="I81" s="3">
        <v>21</v>
      </c>
      <c r="J81" s="7" t="s">
        <v>25</v>
      </c>
      <c r="K81" s="7" t="s">
        <v>8</v>
      </c>
      <c r="L81" s="7" t="s">
        <v>165</v>
      </c>
      <c r="M81" s="11" t="str">
        <f t="shared" si="19"/>
        <v xml:space="preserve">"Drawbar 2", </v>
      </c>
      <c r="N81" s="11" t="str">
        <f t="shared" si="20"/>
        <v xml:space="preserve">NULL, </v>
      </c>
      <c r="O81" s="11" t="str">
        <f t="shared" si="24"/>
        <v xml:space="preserve">&amp;saveLower, </v>
      </c>
      <c r="P81" s="11" t="str">
        <f t="shared" si="25"/>
        <v xml:space="preserve">tm_drawbar, </v>
      </c>
      <c r="Q81" s="10" t="str">
        <f t="shared" si="26"/>
        <v xml:space="preserve">  {"Drawbar 2", -1, -1, 21, NULL, &amp;saveLower, tm_drawbar, 0, 127, 0},  // Idx 79</v>
      </c>
    </row>
    <row r="82" spans="1:17" x14ac:dyDescent="0.25">
      <c r="A82" s="16">
        <f t="shared" si="23"/>
        <v>80</v>
      </c>
      <c r="B82" s="9" t="s">
        <v>68</v>
      </c>
      <c r="C82" s="13">
        <v>-1</v>
      </c>
      <c r="D82" s="13">
        <v>-1</v>
      </c>
      <c r="E82" s="13"/>
      <c r="F82" s="3">
        <v>0</v>
      </c>
      <c r="G82" s="3">
        <v>127</v>
      </c>
      <c r="H82" s="7">
        <v>0</v>
      </c>
      <c r="I82" s="3">
        <v>22</v>
      </c>
      <c r="J82" s="7" t="s">
        <v>25</v>
      </c>
      <c r="K82" s="7" t="s">
        <v>8</v>
      </c>
      <c r="L82" s="7" t="s">
        <v>165</v>
      </c>
      <c r="M82" s="11" t="str">
        <f t="shared" si="19"/>
        <v xml:space="preserve">"Drawbar 1 3/5", </v>
      </c>
      <c r="N82" s="11" t="str">
        <f t="shared" si="20"/>
        <v xml:space="preserve">NULL, </v>
      </c>
      <c r="O82" s="11" t="str">
        <f t="shared" si="24"/>
        <v xml:space="preserve">&amp;saveLower, </v>
      </c>
      <c r="P82" s="11" t="str">
        <f t="shared" si="25"/>
        <v xml:space="preserve">tm_drawbar, </v>
      </c>
      <c r="Q82" s="10" t="str">
        <f t="shared" si="26"/>
        <v xml:space="preserve">  {"Drawbar 1 3/5", -1, -1, 22, NULL, &amp;saveLower, tm_drawbar, 0, 127, 0},  // Idx 80</v>
      </c>
    </row>
    <row r="83" spans="1:17" x14ac:dyDescent="0.25">
      <c r="A83" s="16">
        <f t="shared" si="23"/>
        <v>81</v>
      </c>
      <c r="B83" s="9" t="s">
        <v>69</v>
      </c>
      <c r="C83" s="13">
        <v>-1</v>
      </c>
      <c r="D83" s="13">
        <v>-1</v>
      </c>
      <c r="E83" s="13"/>
      <c r="F83" s="3">
        <v>0</v>
      </c>
      <c r="G83" s="3">
        <v>127</v>
      </c>
      <c r="H83" s="7">
        <v>0</v>
      </c>
      <c r="I83" s="3">
        <v>23</v>
      </c>
      <c r="J83" s="7" t="s">
        <v>25</v>
      </c>
      <c r="K83" s="7" t="s">
        <v>8</v>
      </c>
      <c r="L83" s="7" t="s">
        <v>165</v>
      </c>
      <c r="M83" s="11" t="str">
        <f t="shared" si="19"/>
        <v xml:space="preserve">"Drawbar 1 1/3", </v>
      </c>
      <c r="N83" s="11" t="str">
        <f t="shared" si="20"/>
        <v xml:space="preserve">NULL, </v>
      </c>
      <c r="O83" s="11" t="str">
        <f t="shared" si="24"/>
        <v xml:space="preserve">&amp;saveLower, </v>
      </c>
      <c r="P83" s="11" t="str">
        <f t="shared" si="25"/>
        <v xml:space="preserve">tm_drawbar, </v>
      </c>
      <c r="Q83" s="10" t="str">
        <f t="shared" si="26"/>
        <v xml:space="preserve">  {"Drawbar 1 1/3", -1, -1, 23, NULL, &amp;saveLower, tm_drawbar, 0, 127, 0},  // Idx 81</v>
      </c>
    </row>
    <row r="84" spans="1:17" x14ac:dyDescent="0.25">
      <c r="A84" s="16">
        <f t="shared" si="23"/>
        <v>82</v>
      </c>
      <c r="B84" s="9" t="s">
        <v>70</v>
      </c>
      <c r="C84" s="13">
        <v>-1</v>
      </c>
      <c r="D84" s="13">
        <v>-1</v>
      </c>
      <c r="E84" s="13"/>
      <c r="F84" s="3">
        <v>0</v>
      </c>
      <c r="G84" s="3">
        <v>127</v>
      </c>
      <c r="H84" s="7">
        <v>0</v>
      </c>
      <c r="I84" s="3">
        <v>24</v>
      </c>
      <c r="J84" s="7" t="s">
        <v>25</v>
      </c>
      <c r="K84" s="7" t="s">
        <v>8</v>
      </c>
      <c r="L84" s="7" t="s">
        <v>165</v>
      </c>
      <c r="M84" s="11" t="str">
        <f t="shared" si="19"/>
        <v xml:space="preserve">"Drawbar 1", </v>
      </c>
      <c r="N84" s="11" t="str">
        <f t="shared" si="20"/>
        <v xml:space="preserve">NULL, </v>
      </c>
      <c r="O84" s="11" t="str">
        <f t="shared" si="24"/>
        <v xml:space="preserve">&amp;saveLower, </v>
      </c>
      <c r="P84" s="11" t="str">
        <f t="shared" si="25"/>
        <v xml:space="preserve">tm_drawbar, </v>
      </c>
      <c r="Q84" s="10" t="str">
        <f t="shared" si="26"/>
        <v xml:space="preserve">  {"Drawbar 1", -1, -1, 24, NULL, &amp;saveLower, tm_drawbar, 0, 127, 0},  // Idx 82</v>
      </c>
    </row>
    <row r="85" spans="1:17" x14ac:dyDescent="0.25">
      <c r="A85" s="16">
        <f t="shared" si="23"/>
        <v>83</v>
      </c>
      <c r="B85" s="9" t="s">
        <v>71</v>
      </c>
      <c r="C85" s="13">
        <v>-1</v>
      </c>
      <c r="D85" s="13">
        <v>-1</v>
      </c>
      <c r="E85" s="13"/>
      <c r="F85" s="3">
        <v>0</v>
      </c>
      <c r="G85" s="3">
        <v>127</v>
      </c>
      <c r="H85" s="7">
        <v>1</v>
      </c>
      <c r="I85" s="3">
        <v>25</v>
      </c>
      <c r="J85" s="7" t="s">
        <v>25</v>
      </c>
      <c r="K85" s="7" t="s">
        <v>8</v>
      </c>
      <c r="L85" s="7" t="s">
        <v>165</v>
      </c>
      <c r="M85" s="11" t="str">
        <f t="shared" si="19"/>
        <v xml:space="preserve">"Drawbar Mix 1", </v>
      </c>
      <c r="N85" s="11" t="str">
        <f t="shared" si="20"/>
        <v xml:space="preserve">NULL, </v>
      </c>
      <c r="O85" s="11" t="str">
        <f t="shared" si="24"/>
        <v xml:space="preserve">&amp;saveLower, </v>
      </c>
      <c r="P85" s="11" t="str">
        <f t="shared" si="25"/>
        <v xml:space="preserve">tm_drawbar, </v>
      </c>
      <c r="Q85" s="10" t="str">
        <f t="shared" si="26"/>
        <v xml:space="preserve">  {"Drawbar Mix 1", -1, -1, 25, NULL, &amp;saveLower, tm_drawbar, 0, 127, 1},  // Idx 83</v>
      </c>
    </row>
    <row r="86" spans="1:17" x14ac:dyDescent="0.25">
      <c r="A86" s="16">
        <f t="shared" si="23"/>
        <v>84</v>
      </c>
      <c r="B86" s="9" t="s">
        <v>72</v>
      </c>
      <c r="C86" s="13">
        <v>-1</v>
      </c>
      <c r="D86" s="13">
        <v>-1</v>
      </c>
      <c r="E86" s="13"/>
      <c r="F86" s="3">
        <v>0</v>
      </c>
      <c r="G86" s="3">
        <v>127</v>
      </c>
      <c r="H86" s="7">
        <v>1</v>
      </c>
      <c r="I86" s="3">
        <v>26</v>
      </c>
      <c r="J86" s="7" t="s">
        <v>25</v>
      </c>
      <c r="K86" s="7" t="s">
        <v>8</v>
      </c>
      <c r="L86" s="7" t="s">
        <v>165</v>
      </c>
      <c r="M86" s="11" t="str">
        <f t="shared" si="19"/>
        <v xml:space="preserve">"Drawbar Mix 2", </v>
      </c>
      <c r="N86" s="11" t="str">
        <f t="shared" si="20"/>
        <v xml:space="preserve">NULL, </v>
      </c>
      <c r="O86" s="11" t="str">
        <f t="shared" si="24"/>
        <v xml:space="preserve">&amp;saveLower, </v>
      </c>
      <c r="P86" s="11" t="str">
        <f t="shared" si="25"/>
        <v xml:space="preserve">tm_drawbar, </v>
      </c>
      <c r="Q86" s="10" t="str">
        <f t="shared" si="26"/>
        <v xml:space="preserve">  {"Drawbar Mix 2", -1, -1, 26, NULL, &amp;saveLower, tm_drawbar, 0, 127, 1},  // Idx 84</v>
      </c>
    </row>
    <row r="87" spans="1:17" x14ac:dyDescent="0.25">
      <c r="A87" s="16">
        <f t="shared" si="23"/>
        <v>85</v>
      </c>
      <c r="B87" s="9" t="s">
        <v>73</v>
      </c>
      <c r="C87" s="13">
        <v>-1</v>
      </c>
      <c r="D87" s="13">
        <v>-1</v>
      </c>
      <c r="E87" s="13"/>
      <c r="F87" s="3">
        <v>0</v>
      </c>
      <c r="G87" s="3">
        <v>127</v>
      </c>
      <c r="H87" s="7">
        <v>1</v>
      </c>
      <c r="I87" s="3">
        <v>27</v>
      </c>
      <c r="J87" s="7" t="s">
        <v>25</v>
      </c>
      <c r="K87" s="7" t="s">
        <v>8</v>
      </c>
      <c r="L87" s="7" t="s">
        <v>165</v>
      </c>
      <c r="M87" s="11" t="str">
        <f t="shared" si="19"/>
        <v xml:space="preserve">"Drawbar Mix 3", </v>
      </c>
      <c r="N87" s="11" t="str">
        <f t="shared" si="20"/>
        <v xml:space="preserve">NULL, </v>
      </c>
      <c r="O87" s="11" t="str">
        <f t="shared" si="24"/>
        <v xml:space="preserve">&amp;saveLower, </v>
      </c>
      <c r="P87" s="11" t="str">
        <f t="shared" si="25"/>
        <v xml:space="preserve">tm_drawbar, </v>
      </c>
      <c r="Q87" s="10" t="str">
        <f t="shared" si="26"/>
        <v xml:space="preserve">  {"Drawbar Mix 3", -1, -1, 27, NULL, &amp;saveLower, tm_drawbar, 0, 127, 1},  // Idx 85</v>
      </c>
    </row>
    <row r="88" spans="1:17" x14ac:dyDescent="0.25">
      <c r="A88" s="16">
        <f t="shared" si="23"/>
        <v>86</v>
      </c>
      <c r="B88" s="34" t="s">
        <v>74</v>
      </c>
      <c r="C88" s="13">
        <v>-1</v>
      </c>
      <c r="D88" s="13">
        <v>-1</v>
      </c>
      <c r="E88" s="13"/>
      <c r="F88" s="3">
        <v>0</v>
      </c>
      <c r="G88" s="3">
        <v>126</v>
      </c>
      <c r="H88" s="7">
        <v>0</v>
      </c>
      <c r="I88" s="3">
        <v>232</v>
      </c>
      <c r="J88" s="7" t="s">
        <v>24</v>
      </c>
      <c r="K88" s="7" t="s">
        <v>8</v>
      </c>
      <c r="L88" s="7" t="s">
        <v>8</v>
      </c>
      <c r="M88" s="11" t="str">
        <f t="shared" si="19"/>
        <v xml:space="preserve">"GM Prg 1", </v>
      </c>
      <c r="N88" s="11" t="str">
        <f t="shared" si="20"/>
        <v xml:space="preserve">NULL, </v>
      </c>
      <c r="O88" s="11" t="str">
        <f t="shared" si="24"/>
        <v xml:space="preserve">NULL, </v>
      </c>
      <c r="P88" s="11" t="str">
        <f t="shared" si="25"/>
        <v xml:space="preserve">tm_numeric, </v>
      </c>
      <c r="Q88" s="10" t="str">
        <f t="shared" si="26"/>
        <v xml:space="preserve">  {"GM Prg 1", -1, -1, 232, NULL, NULL, tm_numeric, 0, 126, 0},  // Idx 86</v>
      </c>
    </row>
    <row r="89" spans="1:17" x14ac:dyDescent="0.25">
      <c r="A89" s="16">
        <f t="shared" si="23"/>
        <v>87</v>
      </c>
      <c r="B89" s="34" t="s">
        <v>151</v>
      </c>
      <c r="C89" s="13">
        <v>-1</v>
      </c>
      <c r="D89" s="13">
        <v>-1</v>
      </c>
      <c r="E89" s="13"/>
      <c r="F89" s="3">
        <v>0</v>
      </c>
      <c r="G89" s="3">
        <v>127</v>
      </c>
      <c r="H89" s="7">
        <v>0</v>
      </c>
      <c r="I89" s="3">
        <v>233</v>
      </c>
      <c r="J89" s="7" t="s">
        <v>138</v>
      </c>
      <c r="K89" s="7" t="s">
        <v>8</v>
      </c>
      <c r="L89" s="7" t="s">
        <v>8</v>
      </c>
      <c r="M89" s="11" t="str">
        <f t="shared" si="19"/>
        <v xml:space="preserve">"GM Level 1", </v>
      </c>
      <c r="N89" s="11" t="str">
        <f t="shared" si="20"/>
        <v xml:space="preserve">NULL, </v>
      </c>
      <c r="O89" s="11" t="str">
        <f t="shared" si="24"/>
        <v xml:space="preserve">NULL, </v>
      </c>
      <c r="P89" s="11" t="str">
        <f t="shared" si="25"/>
        <v xml:space="preserve">tm_pot, </v>
      </c>
      <c r="Q89" s="10" t="str">
        <f t="shared" si="26"/>
        <v xml:space="preserve">  {"GM Level 1", -1, -1, 233, NULL, NULL, tm_pot, 0, 127, 0},  // Idx 87</v>
      </c>
    </row>
    <row r="90" spans="1:17" x14ac:dyDescent="0.25">
      <c r="A90" s="16">
        <f t="shared" si="23"/>
        <v>88</v>
      </c>
      <c r="B90" s="34" t="s">
        <v>78</v>
      </c>
      <c r="C90" s="13">
        <v>-1</v>
      </c>
      <c r="D90" s="13">
        <v>-1</v>
      </c>
      <c r="E90" s="13"/>
      <c r="F90" s="3">
        <v>0</v>
      </c>
      <c r="G90" s="3">
        <v>5</v>
      </c>
      <c r="H90" s="7">
        <v>0</v>
      </c>
      <c r="I90" s="3">
        <v>234</v>
      </c>
      <c r="J90" s="7" t="s">
        <v>24</v>
      </c>
      <c r="K90" s="7" t="s">
        <v>8</v>
      </c>
      <c r="L90" s="7" t="s">
        <v>8</v>
      </c>
      <c r="M90" s="11" t="str">
        <f t="shared" si="19"/>
        <v xml:space="preserve">"GM Harm1", </v>
      </c>
      <c r="N90" s="11" t="str">
        <f t="shared" si="20"/>
        <v xml:space="preserve">NULL, </v>
      </c>
      <c r="O90" s="11" t="str">
        <f t="shared" si="24"/>
        <v xml:space="preserve">NULL, </v>
      </c>
      <c r="P90" s="11" t="str">
        <f t="shared" si="25"/>
        <v xml:space="preserve">tm_numeric, </v>
      </c>
      <c r="Q90" s="10" t="str">
        <f t="shared" si="26"/>
        <v xml:space="preserve">  {"GM Harm1", -1, -1, 234, NULL, NULL, tm_numeric, 0, 5, 0},  // Idx 88</v>
      </c>
    </row>
    <row r="91" spans="1:17" x14ac:dyDescent="0.25">
      <c r="A91" s="16">
        <f t="shared" si="23"/>
        <v>89</v>
      </c>
      <c r="B91" s="34" t="s">
        <v>76</v>
      </c>
      <c r="C91" s="13">
        <v>-1</v>
      </c>
      <c r="D91" s="13">
        <v>-1</v>
      </c>
      <c r="E91" s="13"/>
      <c r="F91" s="3">
        <v>0</v>
      </c>
      <c r="G91" s="3">
        <v>126</v>
      </c>
      <c r="H91" s="7">
        <v>1</v>
      </c>
      <c r="I91" s="3">
        <v>235</v>
      </c>
      <c r="J91" s="7" t="s">
        <v>24</v>
      </c>
      <c r="K91" s="7" t="s">
        <v>8</v>
      </c>
      <c r="L91" s="7" t="s">
        <v>8</v>
      </c>
      <c r="M91" s="11" t="str">
        <f t="shared" si="19"/>
        <v xml:space="preserve">"GM Prg 2", </v>
      </c>
      <c r="N91" s="11" t="str">
        <f t="shared" si="20"/>
        <v xml:space="preserve">NULL, </v>
      </c>
      <c r="O91" s="11" t="str">
        <f t="shared" si="24"/>
        <v xml:space="preserve">NULL, </v>
      </c>
      <c r="P91" s="11" t="str">
        <f t="shared" si="25"/>
        <v xml:space="preserve">tm_numeric, </v>
      </c>
      <c r="Q91" s="10" t="str">
        <f t="shared" si="26"/>
        <v xml:space="preserve">  {"GM Prg 2", -1, -1, 235, NULL, NULL, tm_numeric, 0, 126, 1},  // Idx 89</v>
      </c>
    </row>
    <row r="92" spans="1:17" x14ac:dyDescent="0.25">
      <c r="A92" s="16">
        <f t="shared" si="23"/>
        <v>90</v>
      </c>
      <c r="B92" s="34" t="s">
        <v>152</v>
      </c>
      <c r="C92" s="13">
        <v>-1</v>
      </c>
      <c r="D92" s="13">
        <v>-1</v>
      </c>
      <c r="E92" s="13"/>
      <c r="F92" s="3">
        <v>0</v>
      </c>
      <c r="G92" s="3">
        <v>127</v>
      </c>
      <c r="H92" s="7">
        <v>1</v>
      </c>
      <c r="I92" s="3">
        <v>236</v>
      </c>
      <c r="J92" s="7" t="s">
        <v>138</v>
      </c>
      <c r="K92" s="7" t="s">
        <v>8</v>
      </c>
      <c r="L92" s="7" t="s">
        <v>8</v>
      </c>
      <c r="M92" s="11" t="str">
        <f t="shared" si="19"/>
        <v xml:space="preserve">"GM Level 2", </v>
      </c>
      <c r="N92" s="11" t="str">
        <f t="shared" si="20"/>
        <v xml:space="preserve">NULL, </v>
      </c>
      <c r="O92" s="11" t="str">
        <f t="shared" si="24"/>
        <v xml:space="preserve">NULL, </v>
      </c>
      <c r="P92" s="11" t="str">
        <f t="shared" si="25"/>
        <v xml:space="preserve">tm_pot, </v>
      </c>
      <c r="Q92" s="10" t="str">
        <f t="shared" si="26"/>
        <v xml:space="preserve">  {"GM Level 2", -1, -1, 236, NULL, NULL, tm_pot, 0, 127, 1},  // Idx 90</v>
      </c>
    </row>
    <row r="93" spans="1:17" x14ac:dyDescent="0.25">
      <c r="A93" s="16">
        <f t="shared" si="23"/>
        <v>91</v>
      </c>
      <c r="B93" s="34" t="s">
        <v>77</v>
      </c>
      <c r="C93" s="13">
        <v>-1</v>
      </c>
      <c r="D93" s="13">
        <v>-1</v>
      </c>
      <c r="E93" s="13"/>
      <c r="F93" s="3">
        <v>0</v>
      </c>
      <c r="G93" s="3">
        <v>5</v>
      </c>
      <c r="H93" s="7">
        <v>1</v>
      </c>
      <c r="I93" s="3">
        <v>237</v>
      </c>
      <c r="J93" s="7" t="s">
        <v>24</v>
      </c>
      <c r="K93" s="7" t="s">
        <v>8</v>
      </c>
      <c r="L93" s="7" t="s">
        <v>8</v>
      </c>
      <c r="M93" s="11" t="str">
        <f t="shared" si="19"/>
        <v xml:space="preserve">"GM Harm2", </v>
      </c>
      <c r="N93" s="11" t="str">
        <f t="shared" si="20"/>
        <v xml:space="preserve">NULL, </v>
      </c>
      <c r="O93" s="11" t="str">
        <f t="shared" si="24"/>
        <v xml:space="preserve">NULL, </v>
      </c>
      <c r="P93" s="11" t="str">
        <f t="shared" si="25"/>
        <v xml:space="preserve">tm_numeric, </v>
      </c>
      <c r="Q93" s="10" t="str">
        <f t="shared" si="26"/>
        <v xml:space="preserve">  {"GM Harm2", -1, -1, 237, NULL, NULL, tm_numeric, 0, 5, 1},  // Idx 91</v>
      </c>
    </row>
    <row r="94" spans="1:17" x14ac:dyDescent="0.25">
      <c r="A94" s="16">
        <f t="shared" si="23"/>
        <v>92</v>
      </c>
      <c r="B94" s="34" t="s">
        <v>111</v>
      </c>
      <c r="C94" s="13">
        <v>-1</v>
      </c>
      <c r="D94" s="13">
        <v>-1</v>
      </c>
      <c r="E94" s="13"/>
      <c r="F94" s="3">
        <v>0</v>
      </c>
      <c r="G94" s="3">
        <v>15</v>
      </c>
      <c r="H94" s="7">
        <v>1</v>
      </c>
      <c r="I94" s="3">
        <v>238</v>
      </c>
      <c r="J94" s="7" t="s">
        <v>138</v>
      </c>
      <c r="K94" s="7" t="s">
        <v>8</v>
      </c>
      <c r="L94" s="7" t="s">
        <v>8</v>
      </c>
      <c r="M94" s="11" t="str">
        <f t="shared" si="19"/>
        <v xml:space="preserve">"GM Detune 2", </v>
      </c>
      <c r="N94" s="11" t="str">
        <f t="shared" si="20"/>
        <v xml:space="preserve">NULL, </v>
      </c>
      <c r="O94" s="11" t="str">
        <f t="shared" si="24"/>
        <v xml:space="preserve">NULL, </v>
      </c>
      <c r="P94" s="11" t="str">
        <f t="shared" si="25"/>
        <v xml:space="preserve">tm_pot, </v>
      </c>
      <c r="Q94" s="10" t="str">
        <f t="shared" si="26"/>
        <v xml:space="preserve">  {"GM Detune 2", -1, -1, 238, NULL, NULL, tm_pot, 0, 15, 1},  // Idx 92</v>
      </c>
    </row>
    <row r="95" spans="1:17" x14ac:dyDescent="0.25">
      <c r="A95" s="16">
        <f t="shared" si="23"/>
        <v>93</v>
      </c>
      <c r="B95" s="38" t="s">
        <v>99</v>
      </c>
      <c r="C95" s="13">
        <v>-1</v>
      </c>
      <c r="D95" s="13">
        <v>-1</v>
      </c>
      <c r="E95" s="13"/>
      <c r="F95" s="3">
        <v>0</v>
      </c>
      <c r="G95" s="3">
        <v>127</v>
      </c>
      <c r="H95" s="7">
        <v>1</v>
      </c>
      <c r="I95" s="3">
        <v>56</v>
      </c>
      <c r="J95" s="7" t="s">
        <v>138</v>
      </c>
      <c r="K95" s="7" t="s">
        <v>8</v>
      </c>
      <c r="L95" s="7" t="s">
        <v>8</v>
      </c>
      <c r="M95" s="11" t="str">
        <f t="shared" ref="M95:M115" si="27">CONCATENATE("""",B95,""", ")</f>
        <v xml:space="preserve">"Attack", </v>
      </c>
      <c r="N95" s="11" t="str">
        <f t="shared" ref="N95:N115" si="28">IF(K95="NULL",CONCATENATE(K95,", "),CONCATENATE("&amp;",K95,", "))</f>
        <v xml:space="preserve">NULL, </v>
      </c>
      <c r="O95" s="11" t="str">
        <f t="shared" si="24"/>
        <v xml:space="preserve">NULL, </v>
      </c>
      <c r="P95" s="11" t="str">
        <f t="shared" si="25"/>
        <v xml:space="preserve">tm_pot, </v>
      </c>
      <c r="Q95" s="10" t="str">
        <f t="shared" si="26"/>
        <v xml:space="preserve">  {"Attack", -1, -1, 56, NULL, NULL, tm_pot, 0, 127, 1},  // Idx 93</v>
      </c>
    </row>
    <row r="96" spans="1:17" x14ac:dyDescent="0.25">
      <c r="A96" s="16">
        <f t="shared" si="23"/>
        <v>94</v>
      </c>
      <c r="B96" s="38" t="s">
        <v>100</v>
      </c>
      <c r="C96" s="13">
        <v>-1</v>
      </c>
      <c r="D96" s="13">
        <v>-1</v>
      </c>
      <c r="E96" s="13"/>
      <c r="F96" s="3">
        <v>0</v>
      </c>
      <c r="G96" s="3">
        <v>127</v>
      </c>
      <c r="H96" s="7">
        <v>1</v>
      </c>
      <c r="I96" s="3">
        <v>57</v>
      </c>
      <c r="J96" s="7" t="s">
        <v>138</v>
      </c>
      <c r="K96" s="7" t="s">
        <v>8</v>
      </c>
      <c r="L96" s="7" t="s">
        <v>8</v>
      </c>
      <c r="M96" s="11" t="str">
        <f t="shared" si="27"/>
        <v xml:space="preserve">"Decay", </v>
      </c>
      <c r="N96" s="11" t="str">
        <f t="shared" si="28"/>
        <v xml:space="preserve">NULL, </v>
      </c>
      <c r="O96" s="11" t="str">
        <f t="shared" si="24"/>
        <v xml:space="preserve">NULL, </v>
      </c>
      <c r="P96" s="11" t="str">
        <f t="shared" si="25"/>
        <v xml:space="preserve">tm_pot, </v>
      </c>
      <c r="Q96" s="10" t="str">
        <f t="shared" si="26"/>
        <v xml:space="preserve">  {"Decay", -1, -1, 57, NULL, NULL, tm_pot, 0, 127, 1},  // Idx 94</v>
      </c>
    </row>
    <row r="97" spans="1:17" x14ac:dyDescent="0.25">
      <c r="A97" s="16">
        <f t="shared" si="23"/>
        <v>95</v>
      </c>
      <c r="B97" s="38" t="s">
        <v>101</v>
      </c>
      <c r="C97" s="13">
        <v>-1</v>
      </c>
      <c r="D97" s="13">
        <v>-1</v>
      </c>
      <c r="E97" s="13"/>
      <c r="F97" s="3">
        <v>0</v>
      </c>
      <c r="G97" s="3">
        <v>127</v>
      </c>
      <c r="H97" s="7">
        <v>1</v>
      </c>
      <c r="I97" s="3">
        <v>58</v>
      </c>
      <c r="J97" s="7" t="s">
        <v>138</v>
      </c>
      <c r="K97" s="7" t="s">
        <v>8</v>
      </c>
      <c r="L97" s="7" t="s">
        <v>8</v>
      </c>
      <c r="M97" s="11" t="str">
        <f t="shared" si="27"/>
        <v xml:space="preserve">"Sustain", </v>
      </c>
      <c r="N97" s="11" t="str">
        <f t="shared" si="28"/>
        <v xml:space="preserve">NULL, </v>
      </c>
      <c r="O97" s="11" t="str">
        <f t="shared" si="24"/>
        <v xml:space="preserve">NULL, </v>
      </c>
      <c r="P97" s="11" t="str">
        <f t="shared" si="25"/>
        <v xml:space="preserve">tm_pot, </v>
      </c>
      <c r="Q97" s="10" t="str">
        <f t="shared" si="26"/>
        <v xml:space="preserve">  {"Sustain", -1, -1, 58, NULL, NULL, tm_pot, 0, 127, 1},  // Idx 95</v>
      </c>
    </row>
    <row r="98" spans="1:17" x14ac:dyDescent="0.25">
      <c r="A98" s="16">
        <f t="shared" si="23"/>
        <v>96</v>
      </c>
      <c r="B98" s="38" t="s">
        <v>102</v>
      </c>
      <c r="C98" s="13">
        <v>-1</v>
      </c>
      <c r="D98" s="13">
        <v>-1</v>
      </c>
      <c r="E98" s="13"/>
      <c r="F98" s="3">
        <v>0</v>
      </c>
      <c r="G98" s="3">
        <v>127</v>
      </c>
      <c r="H98" s="7">
        <v>1</v>
      </c>
      <c r="I98" s="3">
        <v>59</v>
      </c>
      <c r="J98" s="7" t="s">
        <v>138</v>
      </c>
      <c r="K98" s="7" t="s">
        <v>8</v>
      </c>
      <c r="L98" s="7" t="s">
        <v>8</v>
      </c>
      <c r="M98" s="11" t="str">
        <f t="shared" si="27"/>
        <v xml:space="preserve">"Release", </v>
      </c>
      <c r="N98" s="11" t="str">
        <f t="shared" si="28"/>
        <v xml:space="preserve">NULL, </v>
      </c>
      <c r="O98" s="11" t="str">
        <f t="shared" si="24"/>
        <v xml:space="preserve">NULL, </v>
      </c>
      <c r="P98" s="11" t="str">
        <f t="shared" si="25"/>
        <v xml:space="preserve">tm_pot, </v>
      </c>
      <c r="Q98" s="10" t="str">
        <f t="shared" si="26"/>
        <v xml:space="preserve">  {"Release", -1, -1, 59, NULL, NULL, tm_pot, 0, 127, 1},  // Idx 96</v>
      </c>
    </row>
    <row r="99" spans="1:17" x14ac:dyDescent="0.25">
      <c r="A99" s="16">
        <f t="shared" si="23"/>
        <v>97</v>
      </c>
      <c r="B99" s="38" t="s">
        <v>103</v>
      </c>
      <c r="C99" s="13">
        <v>-1</v>
      </c>
      <c r="D99" s="13">
        <v>-1</v>
      </c>
      <c r="E99" s="13"/>
      <c r="F99" s="3">
        <v>0</v>
      </c>
      <c r="G99" s="3">
        <v>127</v>
      </c>
      <c r="H99" s="7">
        <v>1</v>
      </c>
      <c r="I99" s="3">
        <v>60</v>
      </c>
      <c r="J99" s="7" t="s">
        <v>138</v>
      </c>
      <c r="K99" s="7" t="s">
        <v>8</v>
      </c>
      <c r="L99" s="7" t="s">
        <v>8</v>
      </c>
      <c r="M99" s="11" t="str">
        <f t="shared" si="27"/>
        <v xml:space="preserve">"ADSR Harmonic", </v>
      </c>
      <c r="N99" s="11" t="str">
        <f t="shared" si="28"/>
        <v xml:space="preserve">NULL, </v>
      </c>
      <c r="O99" s="11" t="str">
        <f t="shared" si="24"/>
        <v xml:space="preserve">NULL, </v>
      </c>
      <c r="P99" s="11" t="str">
        <f t="shared" ref="P99:P130" si="29">IF(J99="NULL",CONCATENATE(J99,", "),CONCATENATE("tm_",J99,", "))</f>
        <v xml:space="preserve">tm_pot, </v>
      </c>
      <c r="Q99" s="10" t="str">
        <f t="shared" si="26"/>
        <v xml:space="preserve">  {"ADSR Harmonic", -1, -1, 60, NULL, NULL, tm_pot, 0, 127, 1},  // Idx 97</v>
      </c>
    </row>
    <row r="100" spans="1:17" x14ac:dyDescent="0.25">
      <c r="A100" s="16">
        <f t="shared" si="23"/>
        <v>98</v>
      </c>
      <c r="B100" s="38" t="s">
        <v>90</v>
      </c>
      <c r="C100" s="13">
        <v>-1</v>
      </c>
      <c r="D100" s="13">
        <v>-1</v>
      </c>
      <c r="E100" s="13"/>
      <c r="F100" s="3">
        <v>0</v>
      </c>
      <c r="G100" s="3">
        <v>1</v>
      </c>
      <c r="H100" s="7">
        <v>1</v>
      </c>
      <c r="I100" s="3">
        <v>176</v>
      </c>
      <c r="J100" s="7" t="s">
        <v>26</v>
      </c>
      <c r="K100" s="7" t="s">
        <v>8</v>
      </c>
      <c r="L100" s="7" t="s">
        <v>8</v>
      </c>
      <c r="M100" s="11" t="str">
        <f t="shared" si="27"/>
        <v xml:space="preserve">"ADSR on 16", </v>
      </c>
      <c r="N100" s="11" t="str">
        <f t="shared" si="28"/>
        <v xml:space="preserve">NULL, </v>
      </c>
      <c r="O100" s="11" t="str">
        <f t="shared" si="24"/>
        <v xml:space="preserve">NULL, </v>
      </c>
      <c r="P100" s="11" t="str">
        <f t="shared" si="29"/>
        <v xml:space="preserve">tm_tab, </v>
      </c>
      <c r="Q100" s="10" t="str">
        <f t="shared" si="26"/>
        <v xml:space="preserve">  {"ADSR on 16", -1, -1, 176, NULL, NULL, tm_tab, 0, 1, 1},  // Idx 98</v>
      </c>
    </row>
    <row r="101" spans="1:17" x14ac:dyDescent="0.25">
      <c r="A101" s="16">
        <f t="shared" si="23"/>
        <v>99</v>
      </c>
      <c r="B101" s="38" t="s">
        <v>91</v>
      </c>
      <c r="C101" s="13">
        <v>-1</v>
      </c>
      <c r="D101" s="13">
        <v>-1</v>
      </c>
      <c r="E101" s="13"/>
      <c r="F101" s="3">
        <v>0</v>
      </c>
      <c r="G101" s="3">
        <v>1</v>
      </c>
      <c r="H101" s="7">
        <v>1</v>
      </c>
      <c r="I101" s="3">
        <v>177</v>
      </c>
      <c r="J101" s="7" t="s">
        <v>26</v>
      </c>
      <c r="K101" s="7" t="s">
        <v>8</v>
      </c>
      <c r="L101" s="7" t="s">
        <v>8</v>
      </c>
      <c r="M101" s="11" t="str">
        <f t="shared" si="27"/>
        <v xml:space="preserve">"ADSR on 5 1/3", </v>
      </c>
      <c r="N101" s="11" t="str">
        <f t="shared" si="28"/>
        <v xml:space="preserve">NULL, </v>
      </c>
      <c r="O101" s="11" t="str">
        <f t="shared" si="24"/>
        <v xml:space="preserve">NULL, </v>
      </c>
      <c r="P101" s="11" t="str">
        <f t="shared" si="29"/>
        <v xml:space="preserve">tm_tab, </v>
      </c>
      <c r="Q101" s="10" t="str">
        <f t="shared" si="26"/>
        <v xml:space="preserve">  {"ADSR on 5 1/3", -1, -1, 177, NULL, NULL, tm_tab, 0, 1, 1},  // Idx 99</v>
      </c>
    </row>
    <row r="102" spans="1:17" x14ac:dyDescent="0.25">
      <c r="A102" s="16">
        <f t="shared" si="23"/>
        <v>100</v>
      </c>
      <c r="B102" s="38" t="s">
        <v>92</v>
      </c>
      <c r="C102" s="13">
        <v>-1</v>
      </c>
      <c r="D102" s="13">
        <v>-1</v>
      </c>
      <c r="E102" s="13"/>
      <c r="F102" s="3">
        <v>0</v>
      </c>
      <c r="G102" s="3">
        <v>1</v>
      </c>
      <c r="H102" s="7">
        <v>1</v>
      </c>
      <c r="I102" s="3">
        <v>178</v>
      </c>
      <c r="J102" s="7" t="s">
        <v>26</v>
      </c>
      <c r="K102" s="7" t="s">
        <v>8</v>
      </c>
      <c r="L102" s="7" t="s">
        <v>8</v>
      </c>
      <c r="M102" s="11" t="str">
        <f t="shared" si="27"/>
        <v xml:space="preserve">"ADSR on 8", </v>
      </c>
      <c r="N102" s="11" t="str">
        <f t="shared" si="28"/>
        <v xml:space="preserve">NULL, </v>
      </c>
      <c r="O102" s="11" t="str">
        <f t="shared" si="24"/>
        <v xml:space="preserve">NULL, </v>
      </c>
      <c r="P102" s="11" t="str">
        <f t="shared" si="29"/>
        <v xml:space="preserve">tm_tab, </v>
      </c>
      <c r="Q102" s="10" t="str">
        <f t="shared" si="26"/>
        <v xml:space="preserve">  {"ADSR on 8", -1, -1, 178, NULL, NULL, tm_tab, 0, 1, 1},  // Idx 100</v>
      </c>
    </row>
    <row r="103" spans="1:17" x14ac:dyDescent="0.25">
      <c r="A103" s="16">
        <f t="shared" si="23"/>
        <v>101</v>
      </c>
      <c r="B103" s="38" t="s">
        <v>93</v>
      </c>
      <c r="C103" s="13">
        <v>-1</v>
      </c>
      <c r="D103" s="13">
        <v>-1</v>
      </c>
      <c r="E103" s="13"/>
      <c r="F103" s="3">
        <v>0</v>
      </c>
      <c r="G103" s="3">
        <v>1</v>
      </c>
      <c r="H103" s="7">
        <v>1</v>
      </c>
      <c r="I103" s="3">
        <v>179</v>
      </c>
      <c r="J103" s="7" t="s">
        <v>26</v>
      </c>
      <c r="K103" s="7" t="s">
        <v>8</v>
      </c>
      <c r="L103" s="7" t="s">
        <v>8</v>
      </c>
      <c r="M103" s="11" t="str">
        <f t="shared" si="27"/>
        <v xml:space="preserve">"ADSR on 4", </v>
      </c>
      <c r="N103" s="11" t="str">
        <f t="shared" si="28"/>
        <v xml:space="preserve">NULL, </v>
      </c>
      <c r="O103" s="11" t="str">
        <f t="shared" si="24"/>
        <v xml:space="preserve">NULL, </v>
      </c>
      <c r="P103" s="11" t="str">
        <f t="shared" si="29"/>
        <v xml:space="preserve">tm_tab, </v>
      </c>
      <c r="Q103" s="10" t="str">
        <f t="shared" si="26"/>
        <v xml:space="preserve">  {"ADSR on 4", -1, -1, 179, NULL, NULL, tm_tab, 0, 1, 1},  // Idx 101</v>
      </c>
    </row>
    <row r="104" spans="1:17" x14ac:dyDescent="0.25">
      <c r="A104" s="16">
        <f t="shared" si="23"/>
        <v>102</v>
      </c>
      <c r="B104" s="38" t="s">
        <v>94</v>
      </c>
      <c r="C104" s="13">
        <v>-1</v>
      </c>
      <c r="D104" s="13">
        <v>-1</v>
      </c>
      <c r="E104" s="13"/>
      <c r="F104" s="3">
        <v>0</v>
      </c>
      <c r="G104" s="3">
        <v>1</v>
      </c>
      <c r="H104" s="7">
        <v>1</v>
      </c>
      <c r="I104" s="3">
        <v>180</v>
      </c>
      <c r="J104" s="7" t="s">
        <v>26</v>
      </c>
      <c r="K104" s="7" t="s">
        <v>8</v>
      </c>
      <c r="L104" s="7" t="s">
        <v>8</v>
      </c>
      <c r="M104" s="11" t="str">
        <f t="shared" si="27"/>
        <v xml:space="preserve">"ADSR on 2 2/3", </v>
      </c>
      <c r="N104" s="11" t="str">
        <f t="shared" si="28"/>
        <v xml:space="preserve">NULL, </v>
      </c>
      <c r="O104" s="11" t="str">
        <f t="shared" si="24"/>
        <v xml:space="preserve">NULL, </v>
      </c>
      <c r="P104" s="11" t="str">
        <f t="shared" si="29"/>
        <v xml:space="preserve">tm_tab, </v>
      </c>
      <c r="Q104" s="10" t="str">
        <f t="shared" si="26"/>
        <v xml:space="preserve">  {"ADSR on 2 2/3", -1, -1, 180, NULL, NULL, tm_tab, 0, 1, 1},  // Idx 102</v>
      </c>
    </row>
    <row r="105" spans="1:17" x14ac:dyDescent="0.25">
      <c r="A105" s="16">
        <f t="shared" si="23"/>
        <v>103</v>
      </c>
      <c r="B105" s="38" t="s">
        <v>95</v>
      </c>
      <c r="C105" s="13">
        <v>-1</v>
      </c>
      <c r="D105" s="13">
        <v>-1</v>
      </c>
      <c r="E105" s="13"/>
      <c r="F105" s="3">
        <v>0</v>
      </c>
      <c r="G105" s="3">
        <v>1</v>
      </c>
      <c r="H105" s="7">
        <v>1</v>
      </c>
      <c r="I105" s="3">
        <v>181</v>
      </c>
      <c r="J105" s="7" t="s">
        <v>26</v>
      </c>
      <c r="K105" s="7" t="s">
        <v>8</v>
      </c>
      <c r="L105" s="7" t="s">
        <v>8</v>
      </c>
      <c r="M105" s="11" t="str">
        <f t="shared" si="27"/>
        <v xml:space="preserve">"ADSR on 2", </v>
      </c>
      <c r="N105" s="11" t="str">
        <f t="shared" si="28"/>
        <v xml:space="preserve">NULL, </v>
      </c>
      <c r="O105" s="11" t="str">
        <f t="shared" si="24"/>
        <v xml:space="preserve">NULL, </v>
      </c>
      <c r="P105" s="11" t="str">
        <f t="shared" si="29"/>
        <v xml:space="preserve">tm_tab, </v>
      </c>
      <c r="Q105" s="10" t="str">
        <f t="shared" si="26"/>
        <v xml:space="preserve">  {"ADSR on 2", -1, -1, 181, NULL, NULL, tm_tab, 0, 1, 1},  // Idx 103</v>
      </c>
    </row>
    <row r="106" spans="1:17" x14ac:dyDescent="0.25">
      <c r="A106" s="16">
        <f t="shared" si="23"/>
        <v>104</v>
      </c>
      <c r="B106" s="38" t="s">
        <v>96</v>
      </c>
      <c r="C106" s="13">
        <v>-1</v>
      </c>
      <c r="D106" s="13">
        <v>-1</v>
      </c>
      <c r="E106" s="13"/>
      <c r="F106" s="3">
        <v>0</v>
      </c>
      <c r="G106" s="3">
        <v>1</v>
      </c>
      <c r="H106" s="7">
        <v>1</v>
      </c>
      <c r="I106" s="3">
        <v>182</v>
      </c>
      <c r="J106" s="7" t="s">
        <v>26</v>
      </c>
      <c r="K106" s="7" t="s">
        <v>8</v>
      </c>
      <c r="L106" s="7" t="s">
        <v>8</v>
      </c>
      <c r="M106" s="11" t="str">
        <f t="shared" si="27"/>
        <v xml:space="preserve">"ADSR on 1 3/5", </v>
      </c>
      <c r="N106" s="11" t="str">
        <f t="shared" si="28"/>
        <v xml:space="preserve">NULL, </v>
      </c>
      <c r="O106" s="11" t="str">
        <f t="shared" si="24"/>
        <v xml:space="preserve">NULL, </v>
      </c>
      <c r="P106" s="11" t="str">
        <f t="shared" si="29"/>
        <v xml:space="preserve">tm_tab, </v>
      </c>
      <c r="Q106" s="10" t="str">
        <f t="shared" si="26"/>
        <v xml:space="preserve">  {"ADSR on 1 3/5", -1, -1, 182, NULL, NULL, tm_tab, 0, 1, 1},  // Idx 104</v>
      </c>
    </row>
    <row r="107" spans="1:17" x14ac:dyDescent="0.25">
      <c r="A107" s="16">
        <f t="shared" si="23"/>
        <v>105</v>
      </c>
      <c r="B107" s="38" t="s">
        <v>97</v>
      </c>
      <c r="C107" s="13">
        <v>-1</v>
      </c>
      <c r="D107" s="13">
        <v>-1</v>
      </c>
      <c r="E107" s="13"/>
      <c r="F107" s="3">
        <v>0</v>
      </c>
      <c r="G107" s="3">
        <v>1</v>
      </c>
      <c r="H107" s="7">
        <v>1</v>
      </c>
      <c r="I107" s="3">
        <v>183</v>
      </c>
      <c r="J107" s="7" t="s">
        <v>26</v>
      </c>
      <c r="K107" s="7" t="s">
        <v>8</v>
      </c>
      <c r="L107" s="7" t="s">
        <v>8</v>
      </c>
      <c r="M107" s="11" t="str">
        <f t="shared" si="27"/>
        <v xml:space="preserve">"ADSR on 1 1/3", </v>
      </c>
      <c r="N107" s="11" t="str">
        <f t="shared" si="28"/>
        <v xml:space="preserve">NULL, </v>
      </c>
      <c r="O107" s="11" t="str">
        <f t="shared" si="24"/>
        <v xml:space="preserve">NULL, </v>
      </c>
      <c r="P107" s="11" t="str">
        <f t="shared" si="29"/>
        <v xml:space="preserve">tm_tab, </v>
      </c>
      <c r="Q107" s="10" t="str">
        <f t="shared" si="26"/>
        <v xml:space="preserve">  {"ADSR on 1 1/3", -1, -1, 183, NULL, NULL, tm_tab, 0, 1, 1},  // Idx 105</v>
      </c>
    </row>
    <row r="108" spans="1:17" x14ac:dyDescent="0.25">
      <c r="A108" s="16">
        <f t="shared" si="23"/>
        <v>106</v>
      </c>
      <c r="B108" s="38" t="s">
        <v>98</v>
      </c>
      <c r="C108" s="13">
        <v>-1</v>
      </c>
      <c r="D108" s="13">
        <v>-1</v>
      </c>
      <c r="E108" s="13"/>
      <c r="F108" s="3">
        <v>0</v>
      </c>
      <c r="G108" s="3">
        <v>1</v>
      </c>
      <c r="H108" s="7">
        <v>1</v>
      </c>
      <c r="I108" s="3">
        <v>184</v>
      </c>
      <c r="J108" s="7" t="s">
        <v>26</v>
      </c>
      <c r="K108" s="7" t="s">
        <v>8</v>
      </c>
      <c r="L108" s="7" t="s">
        <v>8</v>
      </c>
      <c r="M108" s="11" t="str">
        <f t="shared" si="27"/>
        <v xml:space="preserve">"ADSR on 1", </v>
      </c>
      <c r="N108" s="11" t="str">
        <f t="shared" si="28"/>
        <v xml:space="preserve">NULL, </v>
      </c>
      <c r="O108" s="11" t="str">
        <f t="shared" si="24"/>
        <v xml:space="preserve">NULL, </v>
      </c>
      <c r="P108" s="11" t="str">
        <f t="shared" si="29"/>
        <v xml:space="preserve">tm_tab, </v>
      </c>
      <c r="Q108" s="10" t="str">
        <f t="shared" si="26"/>
        <v xml:space="preserve">  {"ADSR on 1", -1, -1, 184, NULL, NULL, tm_tab, 0, 1, 1},  // Idx 106</v>
      </c>
    </row>
    <row r="109" spans="1:17" x14ac:dyDescent="0.25">
      <c r="A109" s="16">
        <f t="shared" si="23"/>
        <v>107</v>
      </c>
      <c r="B109" s="38" t="s">
        <v>107</v>
      </c>
      <c r="C109" s="13">
        <v>-1</v>
      </c>
      <c r="D109" s="13">
        <v>-1</v>
      </c>
      <c r="E109" s="13"/>
      <c r="F109" s="3">
        <v>0</v>
      </c>
      <c r="G109" s="3">
        <v>1</v>
      </c>
      <c r="H109" s="7">
        <v>1</v>
      </c>
      <c r="I109" s="3">
        <v>185</v>
      </c>
      <c r="J109" s="7" t="s">
        <v>26</v>
      </c>
      <c r="K109" s="7" t="s">
        <v>8</v>
      </c>
      <c r="L109" s="7" t="s">
        <v>8</v>
      </c>
      <c r="M109" s="11" t="str">
        <f t="shared" si="27"/>
        <v xml:space="preserve">"ADSR on Mix 1", </v>
      </c>
      <c r="N109" s="11" t="str">
        <f t="shared" si="28"/>
        <v xml:space="preserve">NULL, </v>
      </c>
      <c r="O109" s="11" t="str">
        <f t="shared" si="24"/>
        <v xml:space="preserve">NULL, </v>
      </c>
      <c r="P109" s="11" t="str">
        <f t="shared" si="29"/>
        <v xml:space="preserve">tm_tab, </v>
      </c>
      <c r="Q109" s="10" t="str">
        <f t="shared" si="26"/>
        <v xml:space="preserve">  {"ADSR on Mix 1", -1, -1, 185, NULL, NULL, tm_tab, 0, 1, 1},  // Idx 107</v>
      </c>
    </row>
    <row r="110" spans="1:17" x14ac:dyDescent="0.25">
      <c r="A110" s="16">
        <f t="shared" si="23"/>
        <v>108</v>
      </c>
      <c r="B110" s="38" t="s">
        <v>108</v>
      </c>
      <c r="C110" s="13">
        <v>-1</v>
      </c>
      <c r="D110" s="13">
        <v>-1</v>
      </c>
      <c r="E110" s="13"/>
      <c r="F110" s="3">
        <v>0</v>
      </c>
      <c r="G110" s="3">
        <v>1</v>
      </c>
      <c r="H110" s="7">
        <v>1</v>
      </c>
      <c r="I110" s="3">
        <v>186</v>
      </c>
      <c r="J110" s="7" t="s">
        <v>26</v>
      </c>
      <c r="K110" s="7" t="s">
        <v>8</v>
      </c>
      <c r="L110" s="7" t="s">
        <v>8</v>
      </c>
      <c r="M110" s="11" t="str">
        <f t="shared" si="27"/>
        <v xml:space="preserve">"ADSR on Mix 2", </v>
      </c>
      <c r="N110" s="11" t="str">
        <f t="shared" si="28"/>
        <v xml:space="preserve">NULL, </v>
      </c>
      <c r="O110" s="11" t="str">
        <f t="shared" si="24"/>
        <v xml:space="preserve">NULL, </v>
      </c>
      <c r="P110" s="11" t="str">
        <f t="shared" si="29"/>
        <v xml:space="preserve">tm_tab, </v>
      </c>
      <c r="Q110" s="10" t="str">
        <f t="shared" si="26"/>
        <v xml:space="preserve">  {"ADSR on Mix 2", -1, -1, 186, NULL, NULL, tm_tab, 0, 1, 1},  // Idx 108</v>
      </c>
    </row>
    <row r="111" spans="1:17" x14ac:dyDescent="0.25">
      <c r="A111" s="16">
        <f t="shared" si="23"/>
        <v>109</v>
      </c>
      <c r="B111" s="38" t="s">
        <v>109</v>
      </c>
      <c r="C111" s="13">
        <v>-1</v>
      </c>
      <c r="D111" s="13">
        <v>-1</v>
      </c>
      <c r="E111" s="13"/>
      <c r="F111" s="3">
        <v>0</v>
      </c>
      <c r="G111" s="3">
        <v>1</v>
      </c>
      <c r="H111" s="7">
        <v>1</v>
      </c>
      <c r="I111" s="3">
        <v>187</v>
      </c>
      <c r="J111" s="7" t="s">
        <v>26</v>
      </c>
      <c r="K111" s="7" t="s">
        <v>8</v>
      </c>
      <c r="L111" s="7" t="s">
        <v>8</v>
      </c>
      <c r="M111" s="11" t="str">
        <f t="shared" si="27"/>
        <v xml:space="preserve">"ADSR on Mix 3", </v>
      </c>
      <c r="N111" s="11" t="str">
        <f t="shared" si="28"/>
        <v xml:space="preserve">NULL, </v>
      </c>
      <c r="O111" s="11" t="str">
        <f t="shared" si="24"/>
        <v xml:space="preserve">NULL, </v>
      </c>
      <c r="P111" s="11" t="str">
        <f t="shared" si="29"/>
        <v xml:space="preserve">tm_tab, </v>
      </c>
      <c r="Q111" s="10" t="str">
        <f t="shared" si="26"/>
        <v xml:space="preserve">  {"ADSR on Mix 3", -1, -1, 187, NULL, NULL, tm_tab, 0, 1, 1},  // Idx 109</v>
      </c>
    </row>
    <row r="112" spans="1:17" x14ac:dyDescent="0.25">
      <c r="A112" s="16">
        <f t="shared" si="23"/>
        <v>110</v>
      </c>
      <c r="B112" s="26" t="s">
        <v>62</v>
      </c>
      <c r="C112" s="13">
        <v>-1</v>
      </c>
      <c r="D112" s="13">
        <v>-1</v>
      </c>
      <c r="E112" s="13"/>
      <c r="F112" s="3">
        <v>0</v>
      </c>
      <c r="G112" s="3">
        <v>127</v>
      </c>
      <c r="H112" s="7">
        <v>0</v>
      </c>
      <c r="I112" s="3">
        <v>72</v>
      </c>
      <c r="J112" s="7" t="s">
        <v>25</v>
      </c>
      <c r="K112" s="7" t="s">
        <v>8</v>
      </c>
      <c r="L112" s="7" t="s">
        <v>166</v>
      </c>
      <c r="M112" s="11" t="str">
        <f t="shared" si="27"/>
        <v xml:space="preserve">"Drawbar 16", </v>
      </c>
      <c r="N112" s="11" t="str">
        <f t="shared" si="28"/>
        <v xml:space="preserve">NULL, </v>
      </c>
      <c r="O112" s="11" t="str">
        <f t="shared" si="24"/>
        <v xml:space="preserve">&amp;savePedal, </v>
      </c>
      <c r="P112" s="11" t="str">
        <f t="shared" si="29"/>
        <v xml:space="preserve">tm_drawbar, </v>
      </c>
      <c r="Q112" s="10" t="str">
        <f t="shared" si="26"/>
        <v xml:space="preserve">  {"Drawbar 16", -1, -1, 72, NULL, &amp;savePedal, tm_drawbar, 0, 127, 0},  // Idx 110</v>
      </c>
    </row>
    <row r="113" spans="1:17" x14ac:dyDescent="0.25">
      <c r="A113" s="16">
        <f t="shared" si="23"/>
        <v>111</v>
      </c>
      <c r="B113" s="26" t="s">
        <v>179</v>
      </c>
      <c r="C113" s="13">
        <v>-1</v>
      </c>
      <c r="D113" s="13">
        <v>-1</v>
      </c>
      <c r="E113" s="13"/>
      <c r="F113" s="3">
        <v>0</v>
      </c>
      <c r="G113" s="3">
        <v>127</v>
      </c>
      <c r="H113" s="7">
        <v>0</v>
      </c>
      <c r="I113" s="3">
        <v>73</v>
      </c>
      <c r="J113" s="7" t="s">
        <v>25</v>
      </c>
      <c r="K113" s="7" t="s">
        <v>8</v>
      </c>
      <c r="L113" s="7" t="s">
        <v>166</v>
      </c>
      <c r="M113" s="11" t="str">
        <f t="shared" si="27"/>
        <v xml:space="preserve">"Drawbar 16H", </v>
      </c>
      <c r="N113" s="11" t="str">
        <f t="shared" si="28"/>
        <v xml:space="preserve">NULL, </v>
      </c>
      <c r="O113" s="11" t="str">
        <f t="shared" si="24"/>
        <v xml:space="preserve">&amp;savePedal, </v>
      </c>
      <c r="P113" s="11" t="str">
        <f t="shared" si="29"/>
        <v xml:space="preserve">tm_drawbar, </v>
      </c>
      <c r="Q113" s="10" t="str">
        <f t="shared" si="26"/>
        <v xml:space="preserve">  {"Drawbar 16H", -1, -1, 73, NULL, &amp;savePedal, tm_drawbar, 0, 127, 0},  // Idx 111</v>
      </c>
    </row>
    <row r="114" spans="1:17" x14ac:dyDescent="0.25">
      <c r="A114" s="16">
        <f t="shared" si="23"/>
        <v>112</v>
      </c>
      <c r="B114" s="26" t="s">
        <v>64</v>
      </c>
      <c r="C114" s="13">
        <v>-1</v>
      </c>
      <c r="D114" s="13">
        <v>-1</v>
      </c>
      <c r="E114" s="13"/>
      <c r="F114" s="3">
        <v>0</v>
      </c>
      <c r="G114" s="3">
        <v>127</v>
      </c>
      <c r="H114" s="7">
        <v>0</v>
      </c>
      <c r="I114" s="3">
        <v>74</v>
      </c>
      <c r="J114" s="7" t="s">
        <v>25</v>
      </c>
      <c r="K114" s="7" t="s">
        <v>8</v>
      </c>
      <c r="L114" s="7" t="s">
        <v>166</v>
      </c>
      <c r="M114" s="11" t="str">
        <f t="shared" si="27"/>
        <v xml:space="preserve">"Drawbar 8", </v>
      </c>
      <c r="N114" s="11" t="str">
        <f t="shared" si="28"/>
        <v xml:space="preserve">NULL, </v>
      </c>
      <c r="O114" s="11" t="str">
        <f t="shared" si="24"/>
        <v xml:space="preserve">&amp;savePedal, </v>
      </c>
      <c r="P114" s="11" t="str">
        <f t="shared" si="29"/>
        <v xml:space="preserve">tm_drawbar, </v>
      </c>
      <c r="Q114" s="10" t="str">
        <f t="shared" si="26"/>
        <v xml:space="preserve">  {"Drawbar 8", -1, -1, 74, NULL, &amp;savePedal, tm_drawbar, 0, 127, 0},  // Idx 112</v>
      </c>
    </row>
    <row r="115" spans="1:17" x14ac:dyDescent="0.25">
      <c r="A115" s="16">
        <f t="shared" si="23"/>
        <v>113</v>
      </c>
      <c r="B115" s="26" t="s">
        <v>180</v>
      </c>
      <c r="C115" s="13">
        <v>-1</v>
      </c>
      <c r="D115" s="13">
        <v>-1</v>
      </c>
      <c r="E115" s="13"/>
      <c r="F115" s="3">
        <v>0</v>
      </c>
      <c r="G115" s="3">
        <v>127</v>
      </c>
      <c r="H115" s="7">
        <v>0</v>
      </c>
      <c r="I115" s="3">
        <v>75</v>
      </c>
      <c r="J115" s="7" t="s">
        <v>25</v>
      </c>
      <c r="K115" s="7" t="s">
        <v>8</v>
      </c>
      <c r="L115" s="7" t="s">
        <v>166</v>
      </c>
      <c r="M115" s="11" t="str">
        <f t="shared" si="27"/>
        <v xml:space="preserve">"Drawbar 8H", </v>
      </c>
      <c r="N115" s="11" t="str">
        <f t="shared" si="28"/>
        <v xml:space="preserve">NULL, </v>
      </c>
      <c r="O115" s="11" t="str">
        <f t="shared" si="24"/>
        <v xml:space="preserve">&amp;savePedal, </v>
      </c>
      <c r="P115" s="11" t="str">
        <f t="shared" si="29"/>
        <v xml:space="preserve">tm_drawbar, </v>
      </c>
      <c r="Q115" s="10" t="str">
        <f t="shared" si="26"/>
        <v xml:space="preserve">  {"Drawbar 8H", -1, -1, 75, NULL, &amp;savePedal, tm_drawbar, 0, 127, 0},  // Idx 113</v>
      </c>
    </row>
    <row r="116" spans="1:17" x14ac:dyDescent="0.25">
      <c r="A116" s="16">
        <f t="shared" si="23"/>
        <v>114</v>
      </c>
      <c r="B116" s="26" t="s">
        <v>102</v>
      </c>
      <c r="C116" s="13">
        <v>-1</v>
      </c>
      <c r="D116" s="13">
        <v>-1</v>
      </c>
      <c r="E116" s="13"/>
      <c r="F116" s="3">
        <v>0</v>
      </c>
      <c r="G116" s="3">
        <v>127</v>
      </c>
      <c r="H116" s="7">
        <v>0</v>
      </c>
      <c r="I116" s="3">
        <v>67</v>
      </c>
      <c r="J116" s="7" t="s">
        <v>25</v>
      </c>
      <c r="K116" s="7" t="s">
        <v>8</v>
      </c>
      <c r="L116" s="7" t="s">
        <v>166</v>
      </c>
      <c r="M116" s="11" t="str">
        <f>CONCATENATE("""",B116,""", ")</f>
        <v xml:space="preserve">"Release", </v>
      </c>
      <c r="N116" s="11" t="str">
        <f>IF(K116="NULL",CONCATENATE(K116,", "),CONCATENATE("&amp;",K116,", "))</f>
        <v xml:space="preserve">NULL, </v>
      </c>
      <c r="O116" s="11" t="str">
        <f t="shared" si="24"/>
        <v xml:space="preserve">&amp;savePedal, </v>
      </c>
      <c r="P116" s="11" t="str">
        <f t="shared" si="29"/>
        <v xml:space="preserve">tm_drawbar, </v>
      </c>
      <c r="Q116" s="10" t="str">
        <f t="shared" si="26"/>
        <v xml:space="preserve">  {"Release", -1, -1, 67, NULL, &amp;savePedal, tm_drawbar, 0, 127, 0},  // Idx 114</v>
      </c>
    </row>
    <row r="117" spans="1:17" x14ac:dyDescent="0.25">
      <c r="A117" s="16">
        <f t="shared" si="23"/>
        <v>115</v>
      </c>
      <c r="B117" s="35" t="s">
        <v>74</v>
      </c>
      <c r="C117" s="13">
        <v>-1</v>
      </c>
      <c r="D117" s="13">
        <v>-1</v>
      </c>
      <c r="E117" s="13"/>
      <c r="F117" s="3">
        <v>0</v>
      </c>
      <c r="G117" s="3">
        <v>126</v>
      </c>
      <c r="H117" s="7">
        <v>0</v>
      </c>
      <c r="I117" s="3">
        <v>240</v>
      </c>
      <c r="J117" s="7" t="s">
        <v>24</v>
      </c>
      <c r="K117" s="7" t="s">
        <v>8</v>
      </c>
      <c r="L117" s="7" t="s">
        <v>8</v>
      </c>
      <c r="M117" s="11" t="str">
        <f t="shared" ref="M117:M123" si="30">CONCATENATE("""",B117,""", ")</f>
        <v xml:space="preserve">"GM Prg 1", </v>
      </c>
      <c r="N117" s="11" t="str">
        <f t="shared" ref="N117:N123" si="31">IF(K117="NULL",CONCATENATE(K117,", "),CONCATENATE("&amp;",K117,", "))</f>
        <v xml:space="preserve">NULL, </v>
      </c>
      <c r="O117" s="11" t="str">
        <f t="shared" si="24"/>
        <v xml:space="preserve">NULL, </v>
      </c>
      <c r="P117" s="11" t="str">
        <f t="shared" si="29"/>
        <v xml:space="preserve">tm_numeric, </v>
      </c>
      <c r="Q117" s="10" t="str">
        <f t="shared" si="26"/>
        <v xml:space="preserve">  {"GM Prg 1", -1, -1, 240, NULL, NULL, tm_numeric, 0, 126, 0},  // Idx 115</v>
      </c>
    </row>
    <row r="118" spans="1:17" x14ac:dyDescent="0.25">
      <c r="A118" s="16">
        <f t="shared" si="23"/>
        <v>116</v>
      </c>
      <c r="B118" s="35" t="s">
        <v>151</v>
      </c>
      <c r="C118" s="13">
        <v>-1</v>
      </c>
      <c r="D118" s="13">
        <v>-1</v>
      </c>
      <c r="E118" s="13"/>
      <c r="F118" s="3">
        <v>0</v>
      </c>
      <c r="G118" s="3">
        <v>127</v>
      </c>
      <c r="H118" s="7">
        <v>0</v>
      </c>
      <c r="I118" s="3">
        <v>241</v>
      </c>
      <c r="J118" s="7" t="s">
        <v>138</v>
      </c>
      <c r="K118" s="7" t="s">
        <v>8</v>
      </c>
      <c r="L118" s="7" t="s">
        <v>8</v>
      </c>
      <c r="M118" s="11" t="str">
        <f t="shared" si="30"/>
        <v xml:space="preserve">"GM Level 1", </v>
      </c>
      <c r="N118" s="11" t="str">
        <f t="shared" si="31"/>
        <v xml:space="preserve">NULL, </v>
      </c>
      <c r="O118" s="11" t="str">
        <f t="shared" si="24"/>
        <v xml:space="preserve">NULL, </v>
      </c>
      <c r="P118" s="11" t="str">
        <f t="shared" si="29"/>
        <v xml:space="preserve">tm_pot, </v>
      </c>
      <c r="Q118" s="10" t="str">
        <f t="shared" si="26"/>
        <v xml:space="preserve">  {"GM Level 1", -1, -1, 241, NULL, NULL, tm_pot, 0, 127, 0},  // Idx 116</v>
      </c>
    </row>
    <row r="119" spans="1:17" x14ac:dyDescent="0.25">
      <c r="A119" s="16">
        <f t="shared" si="23"/>
        <v>117</v>
      </c>
      <c r="B119" s="35" t="s">
        <v>78</v>
      </c>
      <c r="C119" s="13">
        <v>-1</v>
      </c>
      <c r="D119" s="13">
        <v>-1</v>
      </c>
      <c r="E119" s="13"/>
      <c r="F119" s="3">
        <v>0</v>
      </c>
      <c r="G119" s="3">
        <v>5</v>
      </c>
      <c r="H119" s="7">
        <v>0</v>
      </c>
      <c r="I119" s="3">
        <v>242</v>
      </c>
      <c r="J119" s="7" t="s">
        <v>24</v>
      </c>
      <c r="K119" s="7" t="s">
        <v>8</v>
      </c>
      <c r="L119" s="7" t="s">
        <v>8</v>
      </c>
      <c r="M119" s="11" t="str">
        <f t="shared" si="30"/>
        <v xml:space="preserve">"GM Harm1", </v>
      </c>
      <c r="N119" s="11" t="str">
        <f t="shared" si="31"/>
        <v xml:space="preserve">NULL, </v>
      </c>
      <c r="O119" s="11" t="str">
        <f t="shared" si="24"/>
        <v xml:space="preserve">NULL, </v>
      </c>
      <c r="P119" s="11" t="str">
        <f t="shared" si="29"/>
        <v xml:space="preserve">tm_numeric, </v>
      </c>
      <c r="Q119" s="10" t="str">
        <f t="shared" si="26"/>
        <v xml:space="preserve">  {"GM Harm1", -1, -1, 242, NULL, NULL, tm_numeric, 0, 5, 0},  // Idx 117</v>
      </c>
    </row>
    <row r="120" spans="1:17" x14ac:dyDescent="0.25">
      <c r="A120" s="16">
        <f t="shared" si="23"/>
        <v>118</v>
      </c>
      <c r="B120" s="35" t="s">
        <v>76</v>
      </c>
      <c r="C120" s="13">
        <v>-1</v>
      </c>
      <c r="D120" s="13">
        <v>-1</v>
      </c>
      <c r="E120" s="13"/>
      <c r="F120" s="3">
        <v>0</v>
      </c>
      <c r="G120" s="3">
        <v>126</v>
      </c>
      <c r="H120" s="7">
        <v>1</v>
      </c>
      <c r="I120" s="3">
        <v>243</v>
      </c>
      <c r="J120" s="7" t="s">
        <v>24</v>
      </c>
      <c r="K120" s="7" t="s">
        <v>8</v>
      </c>
      <c r="L120" s="7" t="s">
        <v>8</v>
      </c>
      <c r="M120" s="11" t="str">
        <f t="shared" si="30"/>
        <v xml:space="preserve">"GM Prg 2", </v>
      </c>
      <c r="N120" s="11" t="str">
        <f t="shared" si="31"/>
        <v xml:space="preserve">NULL, </v>
      </c>
      <c r="O120" s="11" t="str">
        <f t="shared" si="24"/>
        <v xml:space="preserve">NULL, </v>
      </c>
      <c r="P120" s="11" t="str">
        <f t="shared" si="29"/>
        <v xml:space="preserve">tm_numeric, </v>
      </c>
      <c r="Q120" s="10" t="str">
        <f t="shared" si="26"/>
        <v xml:space="preserve">  {"GM Prg 2", -1, -1, 243, NULL, NULL, tm_numeric, 0, 126, 1},  // Idx 118</v>
      </c>
    </row>
    <row r="121" spans="1:17" x14ac:dyDescent="0.25">
      <c r="A121" s="16">
        <f t="shared" si="23"/>
        <v>119</v>
      </c>
      <c r="B121" s="35" t="s">
        <v>152</v>
      </c>
      <c r="C121" s="13">
        <v>-1</v>
      </c>
      <c r="D121" s="13">
        <v>-1</v>
      </c>
      <c r="E121" s="13"/>
      <c r="F121" s="3">
        <v>0</v>
      </c>
      <c r="G121" s="3">
        <v>127</v>
      </c>
      <c r="H121" s="7">
        <v>1</v>
      </c>
      <c r="I121" s="3">
        <v>244</v>
      </c>
      <c r="J121" s="7" t="s">
        <v>138</v>
      </c>
      <c r="K121" s="7" t="s">
        <v>8</v>
      </c>
      <c r="L121" s="7" t="s">
        <v>8</v>
      </c>
      <c r="M121" s="11" t="str">
        <f t="shared" si="30"/>
        <v xml:space="preserve">"GM Level 2", </v>
      </c>
      <c r="N121" s="11" t="str">
        <f t="shared" si="31"/>
        <v xml:space="preserve">NULL, </v>
      </c>
      <c r="O121" s="11" t="str">
        <f t="shared" si="24"/>
        <v xml:space="preserve">NULL, </v>
      </c>
      <c r="P121" s="11" t="str">
        <f t="shared" si="29"/>
        <v xml:space="preserve">tm_pot, </v>
      </c>
      <c r="Q121" s="10" t="str">
        <f t="shared" si="26"/>
        <v xml:space="preserve">  {"GM Level 2", -1, -1, 244, NULL, NULL, tm_pot, 0, 127, 1},  // Idx 119</v>
      </c>
    </row>
    <row r="122" spans="1:17" x14ac:dyDescent="0.25">
      <c r="A122" s="16">
        <f t="shared" si="23"/>
        <v>120</v>
      </c>
      <c r="B122" s="35" t="s">
        <v>77</v>
      </c>
      <c r="C122" s="13">
        <v>-1</v>
      </c>
      <c r="D122" s="13">
        <v>-1</v>
      </c>
      <c r="E122" s="13"/>
      <c r="F122" s="3">
        <v>0</v>
      </c>
      <c r="G122" s="3">
        <v>5</v>
      </c>
      <c r="H122" s="7">
        <v>1</v>
      </c>
      <c r="I122" s="3">
        <v>245</v>
      </c>
      <c r="J122" s="7" t="s">
        <v>24</v>
      </c>
      <c r="K122" s="7" t="s">
        <v>8</v>
      </c>
      <c r="L122" s="7" t="s">
        <v>8</v>
      </c>
      <c r="M122" s="11" t="str">
        <f t="shared" si="30"/>
        <v xml:space="preserve">"GM Harm2", </v>
      </c>
      <c r="N122" s="11" t="str">
        <f t="shared" si="31"/>
        <v xml:space="preserve">NULL, </v>
      </c>
      <c r="O122" s="11" t="str">
        <f t="shared" si="24"/>
        <v xml:space="preserve">NULL, </v>
      </c>
      <c r="P122" s="11" t="str">
        <f t="shared" si="29"/>
        <v xml:space="preserve">tm_numeric, </v>
      </c>
      <c r="Q122" s="10" t="str">
        <f t="shared" si="26"/>
        <v xml:space="preserve">  {"GM Harm2", -1, -1, 245, NULL, NULL, tm_numeric, 0, 5, 1},  // Idx 120</v>
      </c>
    </row>
    <row r="123" spans="1:17" x14ac:dyDescent="0.25">
      <c r="A123" s="16">
        <f t="shared" si="23"/>
        <v>121</v>
      </c>
      <c r="B123" s="35" t="s">
        <v>111</v>
      </c>
      <c r="C123" s="13">
        <v>-1</v>
      </c>
      <c r="D123" s="13">
        <v>-1</v>
      </c>
      <c r="E123" s="13"/>
      <c r="F123" s="3">
        <v>0</v>
      </c>
      <c r="G123" s="3">
        <v>15</v>
      </c>
      <c r="H123" s="7">
        <v>1</v>
      </c>
      <c r="I123" s="3">
        <v>246</v>
      </c>
      <c r="J123" s="7" t="s">
        <v>138</v>
      </c>
      <c r="K123" s="7" t="s">
        <v>8</v>
      </c>
      <c r="L123" s="7" t="s">
        <v>8</v>
      </c>
      <c r="M123" s="11" t="str">
        <f t="shared" si="30"/>
        <v xml:space="preserve">"GM Detune 2", </v>
      </c>
      <c r="N123" s="11" t="str">
        <f t="shared" si="31"/>
        <v xml:space="preserve">NULL, </v>
      </c>
      <c r="O123" s="11" t="str">
        <f t="shared" si="24"/>
        <v xml:space="preserve">NULL, </v>
      </c>
      <c r="P123" s="11" t="str">
        <f t="shared" si="29"/>
        <v xml:space="preserve">tm_pot, </v>
      </c>
      <c r="Q123" s="10" t="str">
        <f t="shared" si="26"/>
        <v xml:space="preserve">  {"GM Detune 2", -1, -1, 246, NULL, NULL, tm_pot, 0, 15, 1},  // Idx 121</v>
      </c>
    </row>
    <row r="124" spans="1:17" x14ac:dyDescent="0.25">
      <c r="A124" s="16">
        <f t="shared" si="23"/>
        <v>122</v>
      </c>
      <c r="B124" s="39" t="s">
        <v>99</v>
      </c>
      <c r="C124" s="13">
        <v>-1</v>
      </c>
      <c r="D124" s="13">
        <v>-1</v>
      </c>
      <c r="E124" s="13"/>
      <c r="F124" s="3">
        <v>0</v>
      </c>
      <c r="G124" s="3">
        <v>127</v>
      </c>
      <c r="H124" s="7">
        <v>1</v>
      </c>
      <c r="I124" s="3">
        <v>64</v>
      </c>
      <c r="J124" s="7" t="s">
        <v>138</v>
      </c>
      <c r="K124" s="7" t="s">
        <v>8</v>
      </c>
      <c r="L124" s="7" t="s">
        <v>8</v>
      </c>
      <c r="M124" s="11" t="str">
        <f t="shared" ref="M124:M128" si="32">CONCATENATE("""",B124,""", ")</f>
        <v xml:space="preserve">"Attack", </v>
      </c>
      <c r="N124" s="11" t="str">
        <f t="shared" ref="N124:N128" si="33">IF(K124="NULL",CONCATENATE(K124,", "),CONCATENATE("&amp;",K124,", "))</f>
        <v xml:space="preserve">NULL, </v>
      </c>
      <c r="O124" s="11" t="str">
        <f t="shared" si="24"/>
        <v xml:space="preserve">NULL, </v>
      </c>
      <c r="P124" s="11" t="str">
        <f t="shared" si="29"/>
        <v xml:space="preserve">tm_pot, </v>
      </c>
      <c r="Q124" s="10" t="str">
        <f t="shared" si="26"/>
        <v xml:space="preserve">  {"Attack", -1, -1, 64, NULL, NULL, tm_pot, 0, 127, 1},  // Idx 122</v>
      </c>
    </row>
    <row r="125" spans="1:17" x14ac:dyDescent="0.25">
      <c r="A125" s="16">
        <f t="shared" si="23"/>
        <v>123</v>
      </c>
      <c r="B125" s="39" t="s">
        <v>100</v>
      </c>
      <c r="C125" s="13">
        <v>-1</v>
      </c>
      <c r="D125" s="13">
        <v>-1</v>
      </c>
      <c r="E125" s="13"/>
      <c r="F125" s="3">
        <v>0</v>
      </c>
      <c r="G125" s="3">
        <v>127</v>
      </c>
      <c r="H125" s="7">
        <v>1</v>
      </c>
      <c r="I125" s="3">
        <v>65</v>
      </c>
      <c r="J125" s="7" t="s">
        <v>138</v>
      </c>
      <c r="K125" s="7" t="s">
        <v>8</v>
      </c>
      <c r="L125" s="7" t="s">
        <v>8</v>
      </c>
      <c r="M125" s="11" t="str">
        <f t="shared" si="32"/>
        <v xml:space="preserve">"Decay", </v>
      </c>
      <c r="N125" s="11" t="str">
        <f t="shared" si="33"/>
        <v xml:space="preserve">NULL, </v>
      </c>
      <c r="O125" s="11" t="str">
        <f t="shared" si="24"/>
        <v xml:space="preserve">NULL, </v>
      </c>
      <c r="P125" s="11" t="str">
        <f t="shared" si="29"/>
        <v xml:space="preserve">tm_pot, </v>
      </c>
      <c r="Q125" s="10" t="str">
        <f t="shared" si="26"/>
        <v xml:space="preserve">  {"Decay", -1, -1, 65, NULL, NULL, tm_pot, 0, 127, 1},  // Idx 123</v>
      </c>
    </row>
    <row r="126" spans="1:17" x14ac:dyDescent="0.25">
      <c r="A126" s="16">
        <f t="shared" ref="A126:A201" si="34">A125+1</f>
        <v>124</v>
      </c>
      <c r="B126" s="39" t="s">
        <v>101</v>
      </c>
      <c r="C126" s="13">
        <v>-1</v>
      </c>
      <c r="D126" s="13">
        <v>-1</v>
      </c>
      <c r="E126" s="13"/>
      <c r="F126" s="3">
        <v>0</v>
      </c>
      <c r="G126" s="3">
        <v>127</v>
      </c>
      <c r="H126" s="7">
        <v>1</v>
      </c>
      <c r="I126" s="3">
        <v>66</v>
      </c>
      <c r="J126" s="7" t="s">
        <v>138</v>
      </c>
      <c r="K126" s="7" t="s">
        <v>8</v>
      </c>
      <c r="L126" s="7" t="s">
        <v>8</v>
      </c>
      <c r="M126" s="11" t="str">
        <f t="shared" si="32"/>
        <v xml:space="preserve">"Sustain", </v>
      </c>
      <c r="N126" s="11" t="str">
        <f t="shared" si="33"/>
        <v xml:space="preserve">NULL, </v>
      </c>
      <c r="O126" s="11" t="str">
        <f t="shared" si="24"/>
        <v xml:space="preserve">NULL, </v>
      </c>
      <c r="P126" s="11" t="str">
        <f t="shared" si="29"/>
        <v xml:space="preserve">tm_pot, </v>
      </c>
      <c r="Q126" s="10" t="str">
        <f t="shared" si="26"/>
        <v xml:space="preserve">  {"Sustain", -1, -1, 66, NULL, NULL, tm_pot, 0, 127, 1},  // Idx 124</v>
      </c>
    </row>
    <row r="127" spans="1:17" x14ac:dyDescent="0.25">
      <c r="A127" s="16">
        <f t="shared" si="34"/>
        <v>125</v>
      </c>
      <c r="B127" s="39" t="s">
        <v>102</v>
      </c>
      <c r="C127" s="13">
        <v>-1</v>
      </c>
      <c r="D127" s="13">
        <v>-1</v>
      </c>
      <c r="E127" s="13"/>
      <c r="F127" s="3">
        <v>0</v>
      </c>
      <c r="G127" s="3">
        <v>127</v>
      </c>
      <c r="H127" s="7">
        <v>1</v>
      </c>
      <c r="I127" s="3">
        <v>67</v>
      </c>
      <c r="J127" s="7" t="s">
        <v>138</v>
      </c>
      <c r="K127" s="7" t="s">
        <v>8</v>
      </c>
      <c r="L127" s="7" t="s">
        <v>8</v>
      </c>
      <c r="M127" s="11" t="str">
        <f t="shared" si="32"/>
        <v xml:space="preserve">"Release", </v>
      </c>
      <c r="N127" s="11" t="str">
        <f t="shared" si="33"/>
        <v xml:space="preserve">NULL, </v>
      </c>
      <c r="O127" s="11" t="str">
        <f t="shared" si="24"/>
        <v xml:space="preserve">NULL, </v>
      </c>
      <c r="P127" s="11" t="str">
        <f t="shared" si="29"/>
        <v xml:space="preserve">tm_pot, </v>
      </c>
      <c r="Q127" s="10" t="str">
        <f t="shared" si="26"/>
        <v xml:space="preserve">  {"Release", -1, -1, 67, NULL, NULL, tm_pot, 0, 127, 1},  // Idx 125</v>
      </c>
    </row>
    <row r="128" spans="1:17" x14ac:dyDescent="0.25">
      <c r="A128" s="16">
        <f t="shared" si="34"/>
        <v>126</v>
      </c>
      <c r="B128" s="39" t="s">
        <v>103</v>
      </c>
      <c r="C128" s="13">
        <v>-1</v>
      </c>
      <c r="D128" s="13">
        <v>-1</v>
      </c>
      <c r="E128" s="13"/>
      <c r="F128" s="3">
        <v>0</v>
      </c>
      <c r="G128" s="3">
        <v>127</v>
      </c>
      <c r="H128" s="7">
        <v>1</v>
      </c>
      <c r="I128" s="3">
        <v>68</v>
      </c>
      <c r="J128" s="7" t="s">
        <v>138</v>
      </c>
      <c r="K128" s="7" t="s">
        <v>8</v>
      </c>
      <c r="L128" s="7" t="s">
        <v>8</v>
      </c>
      <c r="M128" s="11" t="str">
        <f t="shared" si="32"/>
        <v xml:space="preserve">"ADSR Harmonic", </v>
      </c>
      <c r="N128" s="11" t="str">
        <f t="shared" si="33"/>
        <v xml:space="preserve">NULL, </v>
      </c>
      <c r="O128" s="11" t="str">
        <f t="shared" si="24"/>
        <v xml:space="preserve">NULL, </v>
      </c>
      <c r="P128" s="11" t="str">
        <f t="shared" si="29"/>
        <v xml:space="preserve">tm_pot, </v>
      </c>
      <c r="Q128" s="10" t="str">
        <f t="shared" si="26"/>
        <v xml:space="preserve">  {"ADSR Harmonic", -1, -1, 68, NULL, NULL, tm_pot, 0, 127, 1},  // Idx 126</v>
      </c>
    </row>
    <row r="129" spans="1:18" x14ac:dyDescent="0.25">
      <c r="A129" s="16">
        <f t="shared" si="34"/>
        <v>127</v>
      </c>
      <c r="B129" s="27" t="s">
        <v>147</v>
      </c>
      <c r="C129" s="13">
        <v>-1</v>
      </c>
      <c r="D129" s="13">
        <v>-1</v>
      </c>
      <c r="E129" s="13"/>
      <c r="F129" s="5">
        <v>0</v>
      </c>
      <c r="G129" s="5">
        <v>1</v>
      </c>
      <c r="H129" s="7">
        <v>0</v>
      </c>
      <c r="I129" s="5">
        <v>128</v>
      </c>
      <c r="J129" s="7" t="s">
        <v>26</v>
      </c>
      <c r="K129" s="7" t="s">
        <v>8</v>
      </c>
      <c r="L129" s="7" t="s">
        <v>8</v>
      </c>
      <c r="M129" s="11" t="str">
        <f t="shared" ref="M129:M135" si="35">CONCATENATE("""",B129,""", ")</f>
        <v xml:space="preserve">"Percussion", </v>
      </c>
      <c r="N129" s="11" t="str">
        <f t="shared" ref="N129:N135" si="36">IF(K129="NULL",CONCATENATE(K129,", "),CONCATENATE("&amp;",K129,", "))</f>
        <v xml:space="preserve">NULL, </v>
      </c>
      <c r="O129" s="11" t="str">
        <f t="shared" si="24"/>
        <v xml:space="preserve">NULL, </v>
      </c>
      <c r="P129" s="11" t="str">
        <f t="shared" si="29"/>
        <v xml:space="preserve">tm_tab, </v>
      </c>
      <c r="Q129" s="10" t="str">
        <f t="shared" si="26"/>
        <v xml:space="preserve">  {"Percussion", -1, -1, 128, NULL, NULL, tm_tab, 0, 1, 0},  // Idx 127</v>
      </c>
    </row>
    <row r="130" spans="1:18" x14ac:dyDescent="0.25">
      <c r="A130" s="16">
        <f t="shared" si="34"/>
        <v>128</v>
      </c>
      <c r="B130" s="27" t="s">
        <v>14</v>
      </c>
      <c r="C130" s="13">
        <v>-1</v>
      </c>
      <c r="D130" s="13">
        <v>-1</v>
      </c>
      <c r="E130" s="13"/>
      <c r="F130" s="5">
        <v>0</v>
      </c>
      <c r="G130" s="5">
        <v>1</v>
      </c>
      <c r="H130" s="7">
        <v>0</v>
      </c>
      <c r="I130" s="5">
        <v>129</v>
      </c>
      <c r="J130" s="7" t="s">
        <v>26</v>
      </c>
      <c r="K130" s="7" t="s">
        <v>8</v>
      </c>
      <c r="L130" s="7" t="s">
        <v>8</v>
      </c>
      <c r="M130" s="11" t="str">
        <f t="shared" si="35"/>
        <v xml:space="preserve">"Perc Soft", </v>
      </c>
      <c r="N130" s="11" t="str">
        <f t="shared" si="36"/>
        <v xml:space="preserve">NULL, </v>
      </c>
      <c r="O130" s="11" t="str">
        <f t="shared" si="24"/>
        <v xml:space="preserve">NULL, </v>
      </c>
      <c r="P130" s="11" t="str">
        <f t="shared" si="29"/>
        <v xml:space="preserve">tm_tab, </v>
      </c>
      <c r="Q130" s="10" t="str">
        <f t="shared" si="26"/>
        <v xml:space="preserve">  {"Perc Soft", -1, -1, 129, NULL, NULL, tm_tab, 0, 1, 0},  // Idx 128</v>
      </c>
    </row>
    <row r="131" spans="1:18" x14ac:dyDescent="0.25">
      <c r="A131" s="16">
        <f t="shared" si="34"/>
        <v>129</v>
      </c>
      <c r="B131" s="27" t="s">
        <v>15</v>
      </c>
      <c r="C131" s="13">
        <v>-1</v>
      </c>
      <c r="D131" s="13">
        <v>-1</v>
      </c>
      <c r="E131" s="13"/>
      <c r="F131" s="5">
        <v>0</v>
      </c>
      <c r="G131" s="5">
        <v>1</v>
      </c>
      <c r="H131" s="7">
        <v>0</v>
      </c>
      <c r="I131" s="5">
        <v>130</v>
      </c>
      <c r="J131" s="7" t="s">
        <v>26</v>
      </c>
      <c r="K131" s="7" t="s">
        <v>8</v>
      </c>
      <c r="L131" s="7" t="s">
        <v>8</v>
      </c>
      <c r="M131" s="11" t="str">
        <f t="shared" si="35"/>
        <v xml:space="preserve">"Perc Fast", </v>
      </c>
      <c r="N131" s="11" t="str">
        <f t="shared" si="36"/>
        <v xml:space="preserve">NULL, </v>
      </c>
      <c r="O131" s="11" t="str">
        <f t="shared" ref="O131:O194" si="37">IF(L131="NULL",CONCATENATE(L131,", "),CONCATENATE("&amp;",L131,", "))</f>
        <v xml:space="preserve">NULL, </v>
      </c>
      <c r="P131" s="11" t="str">
        <f t="shared" ref="P131:P137" si="38">IF(J131="NULL",CONCATENATE(J131,", "),CONCATENATE("tm_",J131,", "))</f>
        <v xml:space="preserve">tm_tab, </v>
      </c>
      <c r="Q131" s="10" t="str">
        <f t="shared" ref="Q131:Q194" si="39">CONCATENATE("  {",M131,C131,", ",D131,", ",I131,", ",N131,O131,P131,F131,", ",G131,", ",H131,"},  // Idx ", A131)</f>
        <v xml:space="preserve">  {"Perc Fast", -1, -1, 130, NULL, NULL, tm_tab, 0, 1, 0},  // Idx 129</v>
      </c>
    </row>
    <row r="132" spans="1:18" x14ac:dyDescent="0.25">
      <c r="A132" s="16">
        <f t="shared" si="34"/>
        <v>130</v>
      </c>
      <c r="B132" s="27" t="s">
        <v>16</v>
      </c>
      <c r="C132" s="13">
        <v>-1</v>
      </c>
      <c r="D132" s="13">
        <v>-1</v>
      </c>
      <c r="E132" s="13"/>
      <c r="F132" s="5">
        <v>0</v>
      </c>
      <c r="G132" s="5">
        <v>1</v>
      </c>
      <c r="H132" s="7">
        <v>0</v>
      </c>
      <c r="I132" s="5">
        <v>131</v>
      </c>
      <c r="J132" s="7" t="s">
        <v>26</v>
      </c>
      <c r="K132" s="7" t="s">
        <v>8</v>
      </c>
      <c r="L132" s="7" t="s">
        <v>8</v>
      </c>
      <c r="M132" s="11" t="str">
        <f t="shared" si="35"/>
        <v xml:space="preserve">"Perc Third", </v>
      </c>
      <c r="N132" s="11" t="str">
        <f t="shared" si="36"/>
        <v xml:space="preserve">NULL, </v>
      </c>
      <c r="O132" s="11" t="str">
        <f t="shared" si="37"/>
        <v xml:space="preserve">NULL, </v>
      </c>
      <c r="P132" s="11" t="str">
        <f t="shared" si="38"/>
        <v xml:space="preserve">tm_tab, </v>
      </c>
      <c r="Q132" s="10" t="str">
        <f t="shared" si="39"/>
        <v xml:space="preserve">  {"Perc Third", -1, -1, 131, NULL, NULL, tm_tab, 0, 1, 0},  // Idx 130</v>
      </c>
    </row>
    <row r="133" spans="1:18" x14ac:dyDescent="0.25">
      <c r="A133" s="16">
        <f t="shared" si="34"/>
        <v>131</v>
      </c>
      <c r="B133" s="27" t="s">
        <v>19</v>
      </c>
      <c r="C133" s="13">
        <v>-1</v>
      </c>
      <c r="D133" s="13">
        <v>-1</v>
      </c>
      <c r="E133" s="13"/>
      <c r="F133" s="5">
        <v>0</v>
      </c>
      <c r="G133" s="5">
        <v>1</v>
      </c>
      <c r="H133" s="7">
        <v>0</v>
      </c>
      <c r="I133" s="5">
        <v>132</v>
      </c>
      <c r="J133" s="7" t="s">
        <v>26</v>
      </c>
      <c r="K133" s="7" t="s">
        <v>8</v>
      </c>
      <c r="L133" s="7" t="s">
        <v>8</v>
      </c>
      <c r="M133" s="11" t="str">
        <f>CONCATENATE("""",B133,""", ")</f>
        <v xml:space="preserve">"Vib On Upper", </v>
      </c>
      <c r="N133" s="11" t="str">
        <f>IF(K133="NULL",CONCATENATE(K133,", "),CONCATENATE("&amp;",K133,", "))</f>
        <v xml:space="preserve">NULL, </v>
      </c>
      <c r="O133" s="11" t="str">
        <f t="shared" si="37"/>
        <v xml:space="preserve">NULL, </v>
      </c>
      <c r="P133" s="11" t="str">
        <f>IF(J133="NULL",CONCATENATE(J133,", "),CONCATENATE("tm_",J133,", "))</f>
        <v xml:space="preserve">tm_tab, </v>
      </c>
      <c r="Q133" s="10" t="str">
        <f t="shared" si="39"/>
        <v xml:space="preserve">  {"Vib On Upper", -1, -1, 132, NULL, NULL, tm_tab, 0, 1, 0},  // Idx 131</v>
      </c>
    </row>
    <row r="134" spans="1:18" x14ac:dyDescent="0.25">
      <c r="A134" s="16">
        <f t="shared" si="34"/>
        <v>132</v>
      </c>
      <c r="B134" s="27" t="s">
        <v>18</v>
      </c>
      <c r="C134" s="13">
        <v>-1</v>
      </c>
      <c r="D134" s="13">
        <v>-1</v>
      </c>
      <c r="E134" s="13"/>
      <c r="F134" s="5">
        <v>0</v>
      </c>
      <c r="G134" s="5">
        <v>1</v>
      </c>
      <c r="H134" s="7">
        <v>0</v>
      </c>
      <c r="I134" s="5">
        <v>133</v>
      </c>
      <c r="J134" s="7" t="s">
        <v>26</v>
      </c>
      <c r="K134" s="7" t="s">
        <v>8</v>
      </c>
      <c r="L134" s="7" t="s">
        <v>8</v>
      </c>
      <c r="M134" s="11" t="str">
        <f t="shared" si="35"/>
        <v xml:space="preserve">"Vib On Lower", </v>
      </c>
      <c r="N134" s="11" t="str">
        <f t="shared" si="36"/>
        <v xml:space="preserve">NULL, </v>
      </c>
      <c r="O134" s="11" t="str">
        <f t="shared" si="37"/>
        <v xml:space="preserve">NULL, </v>
      </c>
      <c r="P134" s="11" t="str">
        <f t="shared" si="38"/>
        <v xml:space="preserve">tm_tab, </v>
      </c>
      <c r="Q134" s="10" t="str">
        <f t="shared" si="39"/>
        <v xml:space="preserve">  {"Vib On Lower", -1, -1, 133, NULL, NULL, tm_tab, 0, 1, 0},  // Idx 132</v>
      </c>
    </row>
    <row r="135" spans="1:18" x14ac:dyDescent="0.25">
      <c r="A135" s="16">
        <f t="shared" si="34"/>
        <v>133</v>
      </c>
      <c r="B135" s="27" t="s">
        <v>17</v>
      </c>
      <c r="C135" s="13">
        <v>-1</v>
      </c>
      <c r="D135" s="13">
        <v>-1</v>
      </c>
      <c r="E135" s="13"/>
      <c r="F135" s="5">
        <v>0</v>
      </c>
      <c r="G135" s="5">
        <v>5</v>
      </c>
      <c r="H135" s="7">
        <v>0</v>
      </c>
      <c r="I135" s="5">
        <v>264</v>
      </c>
      <c r="J135" s="7" t="s">
        <v>148</v>
      </c>
      <c r="K135" s="7" t="s">
        <v>8</v>
      </c>
      <c r="L135" s="7" t="s">
        <v>8</v>
      </c>
      <c r="M135" s="11" t="str">
        <f t="shared" si="35"/>
        <v xml:space="preserve">"Vib Knob", </v>
      </c>
      <c r="N135" s="11" t="str">
        <f t="shared" si="36"/>
        <v xml:space="preserve">NULL, </v>
      </c>
      <c r="O135" s="11" t="str">
        <f t="shared" si="37"/>
        <v xml:space="preserve">NULL, </v>
      </c>
      <c r="P135" s="11" t="str">
        <f t="shared" si="38"/>
        <v xml:space="preserve">tm_vibknob, </v>
      </c>
      <c r="Q135" s="10" t="str">
        <f t="shared" si="39"/>
        <v xml:space="preserve">  {"Vib Knob", -1, -1, 264, NULL, NULL, tm_vibknob, 0, 5, 0},  // Idx 133</v>
      </c>
    </row>
    <row r="136" spans="1:18" x14ac:dyDescent="0.25">
      <c r="A136" s="16">
        <f t="shared" si="34"/>
        <v>134</v>
      </c>
      <c r="B136" s="27" t="s">
        <v>59</v>
      </c>
      <c r="C136" s="13">
        <v>-1</v>
      </c>
      <c r="D136" s="13">
        <v>-1</v>
      </c>
      <c r="E136" s="13"/>
      <c r="F136" s="5">
        <v>0</v>
      </c>
      <c r="G136" s="5">
        <v>1</v>
      </c>
      <c r="H136" s="7">
        <v>0</v>
      </c>
      <c r="I136" s="5">
        <v>156</v>
      </c>
      <c r="J136" s="7" t="s">
        <v>26</v>
      </c>
      <c r="K136" s="7" t="s">
        <v>8</v>
      </c>
      <c r="L136" s="7" t="s">
        <v>8</v>
      </c>
      <c r="M136" s="11" t="str">
        <f t="shared" ref="M136:M137" si="40">CONCATENATE("""",B136,""", ")</f>
        <v xml:space="preserve">"H100 2ndVoice", </v>
      </c>
      <c r="N136" s="11" t="str">
        <f t="shared" ref="N136:N137" si="41">IF(K136="NULL",CONCATENATE(K136,", "),CONCATENATE("&amp;",K136,", "))</f>
        <v xml:space="preserve">NULL, </v>
      </c>
      <c r="O136" s="11" t="str">
        <f t="shared" si="37"/>
        <v xml:space="preserve">NULL, </v>
      </c>
      <c r="P136" s="11" t="str">
        <f t="shared" si="38"/>
        <v xml:space="preserve">tm_tab, </v>
      </c>
      <c r="Q136" s="10" t="str">
        <f t="shared" si="39"/>
        <v xml:space="preserve">  {"H100 2ndVoice", -1, -1, 156, NULL, NULL, tm_tab, 0, 1, 0},  // Idx 134</v>
      </c>
    </row>
    <row r="137" spans="1:18" x14ac:dyDescent="0.25">
      <c r="A137" s="16">
        <f t="shared" si="34"/>
        <v>135</v>
      </c>
      <c r="B137" s="27" t="s">
        <v>60</v>
      </c>
      <c r="C137" s="13">
        <v>-1</v>
      </c>
      <c r="D137" s="13">
        <v>-1</v>
      </c>
      <c r="E137" s="13"/>
      <c r="F137" s="5">
        <v>0</v>
      </c>
      <c r="G137" s="5">
        <v>1</v>
      </c>
      <c r="H137" s="7">
        <v>0</v>
      </c>
      <c r="I137" s="5">
        <v>158</v>
      </c>
      <c r="J137" s="7" t="s">
        <v>26</v>
      </c>
      <c r="K137" s="7" t="s">
        <v>8</v>
      </c>
      <c r="L137" s="7" t="s">
        <v>8</v>
      </c>
      <c r="M137" s="11" t="str">
        <f t="shared" si="40"/>
        <v xml:space="preserve">"EG DB To Dry ", </v>
      </c>
      <c r="N137" s="11" t="str">
        <f t="shared" si="41"/>
        <v xml:space="preserve">NULL, </v>
      </c>
      <c r="O137" s="11" t="str">
        <f t="shared" si="37"/>
        <v xml:space="preserve">NULL, </v>
      </c>
      <c r="P137" s="11" t="str">
        <f t="shared" si="38"/>
        <v xml:space="preserve">tm_tab, </v>
      </c>
      <c r="Q137" s="10" t="str">
        <f t="shared" si="39"/>
        <v xml:space="preserve">  {"EG DB To Dry ", -1, -1, 158, NULL, NULL, tm_tab, 0, 1, 0},  // Idx 135</v>
      </c>
    </row>
    <row r="138" spans="1:18" x14ac:dyDescent="0.25">
      <c r="A138" s="16">
        <f t="shared" si="34"/>
        <v>136</v>
      </c>
      <c r="B138" s="27" t="s">
        <v>175</v>
      </c>
      <c r="C138" s="13">
        <v>-1</v>
      </c>
      <c r="D138" s="13">
        <v>-1</v>
      </c>
      <c r="E138" s="13"/>
      <c r="F138" s="5">
        <v>0</v>
      </c>
      <c r="G138" s="5">
        <v>1</v>
      </c>
      <c r="H138" s="7">
        <v>1</v>
      </c>
      <c r="I138" s="5">
        <v>138</v>
      </c>
      <c r="J138" s="7" t="s">
        <v>26</v>
      </c>
      <c r="K138" s="7" t="s">
        <v>8</v>
      </c>
      <c r="L138" s="7" t="s">
        <v>8</v>
      </c>
      <c r="M138" s="11" t="str">
        <f t="shared" ref="M138:M140" si="42">CONCATENATE("""",B138,""", ")</f>
        <v xml:space="preserve">"PHR On Upper", </v>
      </c>
      <c r="N138" s="11" t="str">
        <f t="shared" ref="N138:N140" si="43">IF(K138="NULL",CONCATENATE(K138,", "),CONCATENATE("&amp;",K138,", "))</f>
        <v xml:space="preserve">NULL, </v>
      </c>
      <c r="O138" s="11" t="str">
        <f t="shared" si="37"/>
        <v xml:space="preserve">NULL, </v>
      </c>
      <c r="P138" s="11" t="str">
        <f t="shared" ref="P138:P140" si="44">IF(J138="NULL",CONCATENATE(J138,", "),CONCATENATE("tm_",J138,", "))</f>
        <v xml:space="preserve">tm_tab, </v>
      </c>
      <c r="Q138" s="10" t="str">
        <f t="shared" si="39"/>
        <v xml:space="preserve">  {"PHR On Upper", -1, -1, 138, NULL, NULL, tm_tab, 0, 1, 1},  // Idx 136</v>
      </c>
    </row>
    <row r="139" spans="1:18" x14ac:dyDescent="0.25">
      <c r="A139" s="16">
        <f t="shared" si="34"/>
        <v>137</v>
      </c>
      <c r="B139" s="27" t="s">
        <v>176</v>
      </c>
      <c r="C139" s="13">
        <v>-1</v>
      </c>
      <c r="D139" s="13">
        <v>-1</v>
      </c>
      <c r="E139" s="13"/>
      <c r="F139" s="5">
        <v>0</v>
      </c>
      <c r="G139" s="5">
        <v>1</v>
      </c>
      <c r="H139" s="7">
        <v>1</v>
      </c>
      <c r="I139" s="5">
        <v>139</v>
      </c>
      <c r="J139" s="7" t="s">
        <v>26</v>
      </c>
      <c r="K139" s="7" t="s">
        <v>8</v>
      </c>
      <c r="L139" s="7" t="s">
        <v>8</v>
      </c>
      <c r="M139" s="11" t="str">
        <f t="shared" si="42"/>
        <v xml:space="preserve">"PHR On Lower", </v>
      </c>
      <c r="N139" s="11" t="str">
        <f t="shared" si="43"/>
        <v xml:space="preserve">NULL, </v>
      </c>
      <c r="O139" s="11" t="str">
        <f t="shared" si="37"/>
        <v xml:space="preserve">NULL, </v>
      </c>
      <c r="P139" s="11" t="str">
        <f t="shared" si="44"/>
        <v xml:space="preserve">tm_tab, </v>
      </c>
      <c r="Q139" s="10" t="str">
        <f t="shared" si="39"/>
        <v xml:space="preserve">  {"PHR On Lower", -1, -1, 139, NULL, NULL, tm_tab, 0, 1, 1},  // Idx 137</v>
      </c>
    </row>
    <row r="140" spans="1:18" x14ac:dyDescent="0.25">
      <c r="A140" s="16">
        <f t="shared" si="34"/>
        <v>138</v>
      </c>
      <c r="B140" s="27" t="s">
        <v>177</v>
      </c>
      <c r="C140" s="13">
        <v>-1</v>
      </c>
      <c r="D140" s="13">
        <v>-1</v>
      </c>
      <c r="E140" s="13"/>
      <c r="F140" s="5">
        <v>0</v>
      </c>
      <c r="G140" s="5">
        <v>7</v>
      </c>
      <c r="H140" s="7">
        <v>1</v>
      </c>
      <c r="I140" s="5">
        <v>256</v>
      </c>
      <c r="J140" s="7" t="s">
        <v>178</v>
      </c>
      <c r="K140" s="7" t="s">
        <v>8</v>
      </c>
      <c r="L140" s="7" t="s">
        <v>8</v>
      </c>
      <c r="M140" s="11" t="str">
        <f t="shared" si="42"/>
        <v xml:space="preserve">"PHR Knob", </v>
      </c>
      <c r="N140" s="11" t="str">
        <f t="shared" si="43"/>
        <v xml:space="preserve">NULL, </v>
      </c>
      <c r="O140" s="11" t="str">
        <f t="shared" si="37"/>
        <v xml:space="preserve">NULL, </v>
      </c>
      <c r="P140" s="11" t="str">
        <f t="shared" si="44"/>
        <v xml:space="preserve">tm_phrknob, </v>
      </c>
      <c r="Q140" s="10" t="str">
        <f t="shared" si="39"/>
        <v xml:space="preserve">  {"PHR Knob", -1, -1, 256, NULL, NULL, tm_phrknob, 0, 7, 1},  // Idx 138</v>
      </c>
    </row>
    <row r="141" spans="1:18" x14ac:dyDescent="0.25">
      <c r="A141" s="16">
        <f t="shared" si="34"/>
        <v>139</v>
      </c>
      <c r="B141" s="30" t="s">
        <v>121</v>
      </c>
      <c r="C141" s="13">
        <v>-1</v>
      </c>
      <c r="D141" s="13">
        <v>-1</v>
      </c>
      <c r="E141" s="13"/>
      <c r="F141" s="3">
        <v>0</v>
      </c>
      <c r="G141" s="18">
        <v>4</v>
      </c>
      <c r="H141" s="7">
        <v>1</v>
      </c>
      <c r="I141" s="7">
        <v>260</v>
      </c>
      <c r="J141" s="7" t="s">
        <v>150</v>
      </c>
      <c r="K141" s="7" t="s">
        <v>8</v>
      </c>
      <c r="L141" s="7" t="s">
        <v>8</v>
      </c>
      <c r="M141" s="11" t="str">
        <f t="shared" ref="M141:M176" si="45">CONCATENATE("""",B141,""", ")</f>
        <v xml:space="preserve">"Gating Mode", </v>
      </c>
      <c r="N141" s="11" t="str">
        <f t="shared" ref="N141:N176" si="46">IF(K141="NULL",CONCATENATE(K141,", "),CONCATENATE("&amp;",K141,", "))</f>
        <v xml:space="preserve">NULL, </v>
      </c>
      <c r="O141" s="11" t="str">
        <f t="shared" si="37"/>
        <v xml:space="preserve">NULL, </v>
      </c>
      <c r="P141" s="11" t="str">
        <f t="shared" ref="P141:P172" si="47">IF(J141="NULL",CONCATENATE(J141,", "),CONCATENATE("tm_",J141,", "))</f>
        <v xml:space="preserve">tm_gating, </v>
      </c>
      <c r="Q141" s="10" t="str">
        <f t="shared" si="39"/>
        <v xml:space="preserve">  {"Gating Mode", -1, -1, 260, NULL, NULL, tm_gating, 0, 4, 1},  // Idx 139</v>
      </c>
      <c r="R141" s="6"/>
    </row>
    <row r="142" spans="1:18" x14ac:dyDescent="0.25">
      <c r="A142" s="16">
        <f t="shared" si="34"/>
        <v>140</v>
      </c>
      <c r="B142" s="30" t="s">
        <v>122</v>
      </c>
      <c r="C142" s="13">
        <v>-1</v>
      </c>
      <c r="D142" s="13">
        <v>-1</v>
      </c>
      <c r="E142" s="13"/>
      <c r="F142" s="3">
        <v>0</v>
      </c>
      <c r="G142" s="18">
        <v>7</v>
      </c>
      <c r="H142" s="7">
        <v>0</v>
      </c>
      <c r="I142" s="7">
        <v>388</v>
      </c>
      <c r="J142" s="7" t="s">
        <v>142</v>
      </c>
      <c r="K142" s="7" t="s">
        <v>8</v>
      </c>
      <c r="L142" s="7" t="s">
        <v>8</v>
      </c>
      <c r="M142" s="11" t="str">
        <f t="shared" si="45"/>
        <v xml:space="preserve">"TG WaveSet", </v>
      </c>
      <c r="N142" s="11" t="str">
        <f t="shared" si="46"/>
        <v xml:space="preserve">NULL, </v>
      </c>
      <c r="O142" s="11" t="str">
        <f t="shared" si="37"/>
        <v xml:space="preserve">NULL, </v>
      </c>
      <c r="P142" s="11" t="str">
        <f t="shared" si="47"/>
        <v xml:space="preserve">tm_waveset, </v>
      </c>
      <c r="Q142" s="10" t="str">
        <f t="shared" si="39"/>
        <v xml:space="preserve">  {"TG WaveSet", -1, -1, 388, NULL, NULL, tm_waveset, 0, 7, 0},  // Idx 140</v>
      </c>
      <c r="R142" s="6"/>
    </row>
    <row r="143" spans="1:18" x14ac:dyDescent="0.25">
      <c r="A143" s="16">
        <f t="shared" si="34"/>
        <v>141</v>
      </c>
      <c r="B143" s="30" t="s">
        <v>123</v>
      </c>
      <c r="C143" s="13">
        <v>-1</v>
      </c>
      <c r="D143" s="13">
        <v>-1</v>
      </c>
      <c r="E143" s="13"/>
      <c r="F143" s="3">
        <v>0</v>
      </c>
      <c r="G143" s="18">
        <v>5</v>
      </c>
      <c r="H143" s="7">
        <v>0</v>
      </c>
      <c r="I143" s="7">
        <v>392</v>
      </c>
      <c r="J143" s="7" t="s">
        <v>143</v>
      </c>
      <c r="K143" s="7" t="s">
        <v>8</v>
      </c>
      <c r="L143" s="7" t="s">
        <v>8</v>
      </c>
      <c r="M143" s="11" t="str">
        <f t="shared" si="45"/>
        <v xml:space="preserve">"TG Tapering", </v>
      </c>
      <c r="N143" s="11" t="str">
        <f t="shared" si="46"/>
        <v xml:space="preserve">NULL, </v>
      </c>
      <c r="O143" s="11" t="str">
        <f t="shared" si="37"/>
        <v xml:space="preserve">NULL, </v>
      </c>
      <c r="P143" s="11" t="str">
        <f t="shared" si="47"/>
        <v xml:space="preserve">tm_tapering, </v>
      </c>
      <c r="Q143" s="10" t="str">
        <f t="shared" si="39"/>
        <v xml:space="preserve">  {"TG Tapering", -1, -1, 392, NULL, NULL, tm_tapering, 0, 5, 0},  // Idx 141</v>
      </c>
      <c r="R143" s="6"/>
    </row>
    <row r="144" spans="1:18" x14ac:dyDescent="0.25">
      <c r="A144" s="16">
        <f t="shared" si="34"/>
        <v>142</v>
      </c>
      <c r="B144" s="30" t="s">
        <v>124</v>
      </c>
      <c r="C144" s="13">
        <v>-1</v>
      </c>
      <c r="D144" s="13">
        <v>-1</v>
      </c>
      <c r="E144" s="13"/>
      <c r="F144" s="3">
        <v>0</v>
      </c>
      <c r="G144" s="18">
        <v>15</v>
      </c>
      <c r="H144" s="7">
        <v>0</v>
      </c>
      <c r="I144" s="7">
        <v>389</v>
      </c>
      <c r="J144" s="7" t="s">
        <v>138</v>
      </c>
      <c r="K144" s="7" t="s">
        <v>8</v>
      </c>
      <c r="L144" s="7" t="s">
        <v>8</v>
      </c>
      <c r="M144" s="11" t="str">
        <f t="shared" si="45"/>
        <v xml:space="preserve">"TG Flutter", </v>
      </c>
      <c r="N144" s="11" t="str">
        <f t="shared" si="46"/>
        <v xml:space="preserve">NULL, </v>
      </c>
      <c r="O144" s="11" t="str">
        <f t="shared" si="37"/>
        <v xml:space="preserve">NULL, </v>
      </c>
      <c r="P144" s="11" t="str">
        <f t="shared" si="47"/>
        <v xml:space="preserve">tm_pot, </v>
      </c>
      <c r="Q144" s="10" t="str">
        <f t="shared" si="39"/>
        <v xml:space="preserve">  {"TG Flutter", -1, -1, 389, NULL, NULL, tm_pot, 0, 15, 0},  // Idx 142</v>
      </c>
      <c r="R144" s="6"/>
    </row>
    <row r="145" spans="1:18" x14ac:dyDescent="0.25">
      <c r="A145" s="16">
        <f t="shared" si="34"/>
        <v>143</v>
      </c>
      <c r="B145" s="30" t="s">
        <v>125</v>
      </c>
      <c r="C145" s="13">
        <v>-1</v>
      </c>
      <c r="D145" s="13">
        <v>-1</v>
      </c>
      <c r="E145" s="13"/>
      <c r="F145" s="3">
        <v>0</v>
      </c>
      <c r="G145" s="18">
        <v>15</v>
      </c>
      <c r="H145" s="7">
        <v>0</v>
      </c>
      <c r="I145" s="7">
        <v>390</v>
      </c>
      <c r="J145" s="7" t="s">
        <v>138</v>
      </c>
      <c r="K145" s="7" t="s">
        <v>8</v>
      </c>
      <c r="L145" s="7" t="s">
        <v>8</v>
      </c>
      <c r="M145" s="11" t="str">
        <f t="shared" si="45"/>
        <v xml:space="preserve">"TG Leakage", </v>
      </c>
      <c r="N145" s="11" t="str">
        <f t="shared" si="46"/>
        <v xml:space="preserve">NULL, </v>
      </c>
      <c r="O145" s="11" t="str">
        <f t="shared" si="37"/>
        <v xml:space="preserve">NULL, </v>
      </c>
      <c r="P145" s="11" t="str">
        <f t="shared" si="47"/>
        <v xml:space="preserve">tm_pot, </v>
      </c>
      <c r="Q145" s="10" t="str">
        <f t="shared" si="39"/>
        <v xml:space="preserve">  {"TG Leakage", -1, -1, 390, NULL, NULL, tm_pot, 0, 15, 0},  // Idx 143</v>
      </c>
      <c r="R145" s="6"/>
    </row>
    <row r="146" spans="1:18" x14ac:dyDescent="0.25">
      <c r="A146" s="16">
        <f t="shared" si="34"/>
        <v>144</v>
      </c>
      <c r="B146" s="30" t="s">
        <v>145</v>
      </c>
      <c r="C146" s="13">
        <v>-1</v>
      </c>
      <c r="D146" s="13">
        <v>-1</v>
      </c>
      <c r="E146" s="13"/>
      <c r="F146" s="3">
        <v>0</v>
      </c>
      <c r="G146" s="18">
        <v>15</v>
      </c>
      <c r="H146" s="7">
        <v>0</v>
      </c>
      <c r="I146" s="7">
        <v>360</v>
      </c>
      <c r="J146" s="7" t="s">
        <v>138</v>
      </c>
      <c r="K146" s="7" t="s">
        <v>8</v>
      </c>
      <c r="L146" s="7" t="s">
        <v>8</v>
      </c>
      <c r="M146" s="11" t="str">
        <f t="shared" si="45"/>
        <v xml:space="preserve">"Cont SpringFlx", </v>
      </c>
      <c r="N146" s="11" t="str">
        <f t="shared" si="46"/>
        <v xml:space="preserve">NULL, </v>
      </c>
      <c r="O146" s="11" t="str">
        <f t="shared" si="37"/>
        <v xml:space="preserve">NULL, </v>
      </c>
      <c r="P146" s="11" t="str">
        <f t="shared" si="47"/>
        <v xml:space="preserve">tm_pot, </v>
      </c>
      <c r="Q146" s="10" t="str">
        <f t="shared" si="39"/>
        <v xml:space="preserve">  {"Cont SpringFlx", -1, -1, 360, NULL, NULL, tm_pot, 0, 15, 0},  // Idx 144</v>
      </c>
      <c r="R146" s="6"/>
    </row>
    <row r="147" spans="1:18" x14ac:dyDescent="0.25">
      <c r="A147" s="16">
        <f t="shared" si="34"/>
        <v>145</v>
      </c>
      <c r="B147" s="30" t="s">
        <v>146</v>
      </c>
      <c r="C147" s="13">
        <v>-1</v>
      </c>
      <c r="D147" s="13">
        <v>-1</v>
      </c>
      <c r="E147" s="13"/>
      <c r="F147" s="3">
        <v>0</v>
      </c>
      <c r="G147" s="18">
        <v>15</v>
      </c>
      <c r="H147" s="7">
        <v>0</v>
      </c>
      <c r="I147" s="7">
        <v>361</v>
      </c>
      <c r="J147" s="7" t="s">
        <v>138</v>
      </c>
      <c r="K147" s="7" t="s">
        <v>8</v>
      </c>
      <c r="L147" s="7" t="s">
        <v>8</v>
      </c>
      <c r="M147" s="11" t="str">
        <f t="shared" si="45"/>
        <v xml:space="preserve">"Cont SpringDmp", </v>
      </c>
      <c r="N147" s="11" t="str">
        <f t="shared" si="46"/>
        <v xml:space="preserve">NULL, </v>
      </c>
      <c r="O147" s="11" t="str">
        <f t="shared" si="37"/>
        <v xml:space="preserve">NULL, </v>
      </c>
      <c r="P147" s="11" t="str">
        <f t="shared" si="47"/>
        <v xml:space="preserve">tm_pot, </v>
      </c>
      <c r="Q147" s="10" t="str">
        <f t="shared" si="39"/>
        <v xml:space="preserve">  {"Cont SpringDmp", -1, -1, 361, NULL, NULL, tm_pot, 0, 15, 0},  // Idx 145</v>
      </c>
      <c r="R147" s="6"/>
    </row>
    <row r="148" spans="1:18" x14ac:dyDescent="0.25">
      <c r="A148" s="16">
        <f t="shared" si="34"/>
        <v>146</v>
      </c>
      <c r="B148" s="30" t="s">
        <v>57</v>
      </c>
      <c r="C148" s="13">
        <v>-1</v>
      </c>
      <c r="D148" s="13">
        <v>-1</v>
      </c>
      <c r="E148" s="13"/>
      <c r="F148" s="3">
        <v>0</v>
      </c>
      <c r="G148" s="18">
        <v>1</v>
      </c>
      <c r="H148" s="7">
        <v>0</v>
      </c>
      <c r="I148" s="7">
        <v>364</v>
      </c>
      <c r="J148" s="7" t="s">
        <v>26</v>
      </c>
      <c r="K148" s="7" t="s">
        <v>8</v>
      </c>
      <c r="L148" s="7" t="s">
        <v>8</v>
      </c>
      <c r="M148" s="11" t="str">
        <f t="shared" si="45"/>
        <v xml:space="preserve">"Lubed Contacts", </v>
      </c>
      <c r="N148" s="11" t="str">
        <f t="shared" si="46"/>
        <v xml:space="preserve">NULL, </v>
      </c>
      <c r="O148" s="11" t="str">
        <f t="shared" si="37"/>
        <v xml:space="preserve">NULL, </v>
      </c>
      <c r="P148" s="11" t="str">
        <f t="shared" si="47"/>
        <v xml:space="preserve">tm_tab, </v>
      </c>
      <c r="Q148" s="10" t="str">
        <f t="shared" si="39"/>
        <v xml:space="preserve">  {"Lubed Contacts", -1, -1, 364, NULL, NULL, tm_tab, 0, 1, 0},  // Idx 146</v>
      </c>
      <c r="R148" s="6"/>
    </row>
    <row r="149" spans="1:18" x14ac:dyDescent="0.25">
      <c r="A149" s="16">
        <f t="shared" si="34"/>
        <v>147</v>
      </c>
      <c r="B149" s="30" t="s">
        <v>126</v>
      </c>
      <c r="C149" s="13">
        <v>-1</v>
      </c>
      <c r="D149" s="13">
        <v>-1</v>
      </c>
      <c r="E149" s="13"/>
      <c r="F149" s="3">
        <v>0</v>
      </c>
      <c r="G149" s="18">
        <v>1</v>
      </c>
      <c r="H149" s="7">
        <v>0</v>
      </c>
      <c r="I149" s="7">
        <v>357</v>
      </c>
      <c r="J149" s="7" t="s">
        <v>26</v>
      </c>
      <c r="K149" s="7" t="s">
        <v>8</v>
      </c>
      <c r="L149" s="7" t="s">
        <v>8</v>
      </c>
      <c r="M149" s="11" t="str">
        <f t="shared" si="45"/>
        <v xml:space="preserve">"No DB1 @Perc", </v>
      </c>
      <c r="N149" s="11" t="str">
        <f t="shared" si="46"/>
        <v xml:space="preserve">NULL, </v>
      </c>
      <c r="O149" s="11" t="str">
        <f t="shared" si="37"/>
        <v xml:space="preserve">NULL, </v>
      </c>
      <c r="P149" s="11" t="str">
        <f t="shared" si="47"/>
        <v xml:space="preserve">tm_tab, </v>
      </c>
      <c r="Q149" s="10" t="str">
        <f t="shared" si="39"/>
        <v xml:space="preserve">  {"No DB1 @Perc", -1, -1, 357, NULL, NULL, tm_tab, 0, 1, 0},  // Idx 147</v>
      </c>
      <c r="R149" s="6"/>
    </row>
    <row r="150" spans="1:18" x14ac:dyDescent="0.25">
      <c r="A150" s="16">
        <f t="shared" si="34"/>
        <v>148</v>
      </c>
      <c r="B150" s="30" t="s">
        <v>153</v>
      </c>
      <c r="C150" s="13">
        <v>-1</v>
      </c>
      <c r="D150" s="13">
        <v>-1</v>
      </c>
      <c r="E150" s="13"/>
      <c r="F150" s="3">
        <v>0</v>
      </c>
      <c r="G150" s="18">
        <v>127</v>
      </c>
      <c r="H150" s="7">
        <v>0</v>
      </c>
      <c r="I150" s="7">
        <v>480</v>
      </c>
      <c r="J150" s="7" t="s">
        <v>138</v>
      </c>
      <c r="K150" s="7" t="s">
        <v>8</v>
      </c>
      <c r="L150" s="7" t="s">
        <v>8</v>
      </c>
      <c r="M150" s="11" t="str">
        <f t="shared" si="45"/>
        <v xml:space="preserve">"Perc Norm Level", </v>
      </c>
      <c r="N150" s="11" t="str">
        <f t="shared" si="46"/>
        <v xml:space="preserve">NULL, </v>
      </c>
      <c r="O150" s="11" t="str">
        <f t="shared" si="37"/>
        <v xml:space="preserve">NULL, </v>
      </c>
      <c r="P150" s="11" t="str">
        <f t="shared" si="47"/>
        <v xml:space="preserve">tm_pot, </v>
      </c>
      <c r="Q150" s="10" t="str">
        <f t="shared" si="39"/>
        <v xml:space="preserve">  {"Perc Norm Level", -1, -1, 480, NULL, NULL, tm_pot, 0, 127, 0},  // Idx 148</v>
      </c>
      <c r="R150" s="6"/>
    </row>
    <row r="151" spans="1:18" x14ac:dyDescent="0.25">
      <c r="A151" s="16">
        <f t="shared" si="34"/>
        <v>149</v>
      </c>
      <c r="B151" s="30" t="s">
        <v>154</v>
      </c>
      <c r="C151" s="13">
        <v>-1</v>
      </c>
      <c r="D151" s="13">
        <v>-1</v>
      </c>
      <c r="E151" s="13"/>
      <c r="F151" s="3">
        <v>0</v>
      </c>
      <c r="G151" s="18">
        <v>127</v>
      </c>
      <c r="H151" s="7">
        <v>0</v>
      </c>
      <c r="I151" s="7">
        <v>481</v>
      </c>
      <c r="J151" s="7" t="s">
        <v>138</v>
      </c>
      <c r="K151" s="7" t="s">
        <v>8</v>
      </c>
      <c r="L151" s="7" t="s">
        <v>8</v>
      </c>
      <c r="M151" s="11" t="str">
        <f t="shared" si="45"/>
        <v xml:space="preserve">"Perc Soft Level", </v>
      </c>
      <c r="N151" s="11" t="str">
        <f t="shared" si="46"/>
        <v xml:space="preserve">NULL, </v>
      </c>
      <c r="O151" s="11" t="str">
        <f t="shared" si="37"/>
        <v xml:space="preserve">NULL, </v>
      </c>
      <c r="P151" s="11" t="str">
        <f t="shared" si="47"/>
        <v xml:space="preserve">tm_pot, </v>
      </c>
      <c r="Q151" s="10" t="str">
        <f t="shared" si="39"/>
        <v xml:space="preserve">  {"Perc Soft Level", -1, -1, 481, NULL, NULL, tm_pot, 0, 127, 0},  // Idx 149</v>
      </c>
      <c r="R151" s="6"/>
    </row>
    <row r="152" spans="1:18" x14ac:dyDescent="0.25">
      <c r="A152" s="16">
        <f t="shared" si="34"/>
        <v>150</v>
      </c>
      <c r="B152" s="30" t="s">
        <v>127</v>
      </c>
      <c r="C152" s="13">
        <v>-1</v>
      </c>
      <c r="D152" s="13">
        <v>-1</v>
      </c>
      <c r="E152" s="13"/>
      <c r="F152" s="3">
        <v>0</v>
      </c>
      <c r="G152" s="18">
        <v>127</v>
      </c>
      <c r="H152" s="7">
        <v>0</v>
      </c>
      <c r="I152" s="7">
        <v>482</v>
      </c>
      <c r="J152" s="7" t="s">
        <v>138</v>
      </c>
      <c r="K152" s="7" t="s">
        <v>8</v>
      </c>
      <c r="L152" s="7" t="s">
        <v>8</v>
      </c>
      <c r="M152" s="11" t="str">
        <f t="shared" si="45"/>
        <v xml:space="preserve">"Perc Long Time", </v>
      </c>
      <c r="N152" s="11" t="str">
        <f t="shared" si="46"/>
        <v xml:space="preserve">NULL, </v>
      </c>
      <c r="O152" s="11" t="str">
        <f t="shared" si="37"/>
        <v xml:space="preserve">NULL, </v>
      </c>
      <c r="P152" s="11" t="str">
        <f t="shared" si="47"/>
        <v xml:space="preserve">tm_pot, </v>
      </c>
      <c r="Q152" s="10" t="str">
        <f t="shared" si="39"/>
        <v xml:space="preserve">  {"Perc Long Time", -1, -1, 482, NULL, NULL, tm_pot, 0, 127, 0},  // Idx 150</v>
      </c>
      <c r="R152" s="6"/>
    </row>
    <row r="153" spans="1:18" x14ac:dyDescent="0.25">
      <c r="A153" s="16">
        <f t="shared" si="34"/>
        <v>151</v>
      </c>
      <c r="B153" s="30" t="s">
        <v>128</v>
      </c>
      <c r="C153" s="13">
        <v>-1</v>
      </c>
      <c r="D153" s="13">
        <v>-1</v>
      </c>
      <c r="E153" s="13"/>
      <c r="F153" s="3">
        <v>0</v>
      </c>
      <c r="G153" s="18">
        <v>127</v>
      </c>
      <c r="H153" s="7">
        <v>0</v>
      </c>
      <c r="I153" s="7">
        <v>483</v>
      </c>
      <c r="J153" s="7" t="s">
        <v>138</v>
      </c>
      <c r="K153" s="7" t="s">
        <v>8</v>
      </c>
      <c r="L153" s="7" t="s">
        <v>8</v>
      </c>
      <c r="M153" s="11" t="str">
        <f t="shared" si="45"/>
        <v xml:space="preserve">"Perc Short Time", </v>
      </c>
      <c r="N153" s="11" t="str">
        <f t="shared" si="46"/>
        <v xml:space="preserve">NULL, </v>
      </c>
      <c r="O153" s="11" t="str">
        <f t="shared" si="37"/>
        <v xml:space="preserve">NULL, </v>
      </c>
      <c r="P153" s="11" t="str">
        <f t="shared" si="47"/>
        <v xml:space="preserve">tm_pot, </v>
      </c>
      <c r="Q153" s="10" t="str">
        <f t="shared" si="39"/>
        <v xml:space="preserve">  {"Perc Short Time", -1, -1, 483, NULL, NULL, tm_pot, 0, 127, 0},  // Idx 151</v>
      </c>
      <c r="R153" s="6"/>
    </row>
    <row r="154" spans="1:18" x14ac:dyDescent="0.25">
      <c r="A154" s="16">
        <f t="shared" si="34"/>
        <v>152</v>
      </c>
      <c r="B154" s="30" t="s">
        <v>58</v>
      </c>
      <c r="C154" s="13">
        <v>-1</v>
      </c>
      <c r="D154" s="13">
        <v>-1</v>
      </c>
      <c r="E154" s="13"/>
      <c r="F154" s="3">
        <v>0</v>
      </c>
      <c r="G154" s="18">
        <v>127</v>
      </c>
      <c r="H154" s="7">
        <v>0</v>
      </c>
      <c r="I154" s="7">
        <v>484</v>
      </c>
      <c r="J154" s="7" t="s">
        <v>138</v>
      </c>
      <c r="K154" s="7" t="s">
        <v>8</v>
      </c>
      <c r="L154" s="7" t="s">
        <v>8</v>
      </c>
      <c r="M154" s="11" t="str">
        <f t="shared" si="45"/>
        <v xml:space="preserve">"Perc Muted Lvl", </v>
      </c>
      <c r="N154" s="11" t="str">
        <f t="shared" si="46"/>
        <v xml:space="preserve">NULL, </v>
      </c>
      <c r="O154" s="11" t="str">
        <f t="shared" si="37"/>
        <v xml:space="preserve">NULL, </v>
      </c>
      <c r="P154" s="11" t="str">
        <f t="shared" si="47"/>
        <v xml:space="preserve">tm_pot, </v>
      </c>
      <c r="Q154" s="10" t="str">
        <f t="shared" si="39"/>
        <v xml:space="preserve">  {"Perc Muted Lvl", -1, -1, 484, NULL, NULL, tm_pot, 0, 127, 0},  // Idx 152</v>
      </c>
      <c r="R154" s="6"/>
    </row>
    <row r="155" spans="1:18" x14ac:dyDescent="0.25">
      <c r="A155" s="16">
        <f t="shared" si="34"/>
        <v>153</v>
      </c>
      <c r="B155" s="30" t="s">
        <v>49</v>
      </c>
      <c r="C155" s="13">
        <v>-1</v>
      </c>
      <c r="D155" s="13">
        <v>-1</v>
      </c>
      <c r="E155" s="13"/>
      <c r="F155" s="3">
        <v>0</v>
      </c>
      <c r="G155" s="7">
        <v>127</v>
      </c>
      <c r="H155" s="7">
        <v>0</v>
      </c>
      <c r="I155" s="7">
        <v>87</v>
      </c>
      <c r="J155" s="7" t="s">
        <v>138</v>
      </c>
      <c r="K155" s="7" t="s">
        <v>8</v>
      </c>
      <c r="L155" s="7" t="s">
        <v>8</v>
      </c>
      <c r="M155" s="11" t="str">
        <f t="shared" si="45"/>
        <v xml:space="preserve">"AO28 Tone Pot", </v>
      </c>
      <c r="N155" s="11" t="str">
        <f t="shared" si="46"/>
        <v xml:space="preserve">NULL, </v>
      </c>
      <c r="O155" s="11" t="str">
        <f t="shared" si="37"/>
        <v xml:space="preserve">NULL, </v>
      </c>
      <c r="P155" s="11" t="str">
        <f t="shared" si="47"/>
        <v xml:space="preserve">tm_pot, </v>
      </c>
      <c r="Q155" s="10" t="str">
        <f t="shared" si="39"/>
        <v xml:space="preserve">  {"AO28 Tone Pot", -1, -1, 87, NULL, NULL, tm_pot, 0, 127, 0},  // Idx 153</v>
      </c>
      <c r="R155" s="6"/>
    </row>
    <row r="156" spans="1:18" x14ac:dyDescent="0.25">
      <c r="A156" s="16">
        <f t="shared" si="34"/>
        <v>154</v>
      </c>
      <c r="B156" s="30" t="s">
        <v>50</v>
      </c>
      <c r="C156" s="13">
        <v>-1</v>
      </c>
      <c r="D156" s="13">
        <v>-1</v>
      </c>
      <c r="E156" s="13"/>
      <c r="F156" s="3">
        <v>0</v>
      </c>
      <c r="G156" s="7">
        <v>127</v>
      </c>
      <c r="H156" s="7">
        <v>0</v>
      </c>
      <c r="I156" s="7">
        <v>88</v>
      </c>
      <c r="J156" s="7" t="s">
        <v>138</v>
      </c>
      <c r="K156" s="7" t="s">
        <v>8</v>
      </c>
      <c r="L156" s="7" t="s">
        <v>8</v>
      </c>
      <c r="M156" s="11" t="str">
        <f t="shared" si="45"/>
        <v xml:space="preserve">"AO28 Gain Cap", </v>
      </c>
      <c r="N156" s="11" t="str">
        <f t="shared" si="46"/>
        <v xml:space="preserve">NULL, </v>
      </c>
      <c r="O156" s="11" t="str">
        <f t="shared" si="37"/>
        <v xml:space="preserve">NULL, </v>
      </c>
      <c r="P156" s="11" t="str">
        <f t="shared" si="47"/>
        <v xml:space="preserve">tm_pot, </v>
      </c>
      <c r="Q156" s="10" t="str">
        <f t="shared" si="39"/>
        <v xml:space="preserve">  {"AO28 Gain Cap", -1, -1, 88, NULL, NULL, tm_pot, 0, 127, 0},  // Idx 154</v>
      </c>
      <c r="R156" s="6"/>
    </row>
    <row r="157" spans="1:18" x14ac:dyDescent="0.25">
      <c r="A157" s="16">
        <f t="shared" si="34"/>
        <v>155</v>
      </c>
      <c r="B157" s="30" t="s">
        <v>51</v>
      </c>
      <c r="C157" s="13">
        <v>-1</v>
      </c>
      <c r="D157" s="13">
        <v>-1</v>
      </c>
      <c r="E157" s="13"/>
      <c r="F157" s="3">
        <v>0</v>
      </c>
      <c r="G157" s="7">
        <v>127</v>
      </c>
      <c r="H157" s="7">
        <v>0</v>
      </c>
      <c r="I157" s="7">
        <v>89</v>
      </c>
      <c r="J157" s="7" t="s">
        <v>138</v>
      </c>
      <c r="K157" s="7" t="s">
        <v>8</v>
      </c>
      <c r="L157" s="7" t="s">
        <v>8</v>
      </c>
      <c r="M157" s="11" t="str">
        <f t="shared" si="45"/>
        <v xml:space="preserve">"AO28 MinSwell", </v>
      </c>
      <c r="N157" s="11" t="str">
        <f t="shared" si="46"/>
        <v xml:space="preserve">NULL, </v>
      </c>
      <c r="O157" s="11" t="str">
        <f t="shared" si="37"/>
        <v xml:space="preserve">NULL, </v>
      </c>
      <c r="P157" s="11" t="str">
        <f t="shared" si="47"/>
        <v xml:space="preserve">tm_pot, </v>
      </c>
      <c r="Q157" s="10" t="str">
        <f t="shared" si="39"/>
        <v xml:space="preserve">  {"AO28 MinSwell", -1, -1, 89, NULL, NULL, tm_pot, 0, 127, 0},  // Idx 155</v>
      </c>
      <c r="R157" s="6"/>
    </row>
    <row r="158" spans="1:18" x14ac:dyDescent="0.25">
      <c r="A158" s="16">
        <f t="shared" si="34"/>
        <v>156</v>
      </c>
      <c r="B158" s="30" t="s">
        <v>52</v>
      </c>
      <c r="C158" s="13">
        <v>-1</v>
      </c>
      <c r="D158" s="13">
        <v>-1</v>
      </c>
      <c r="E158" s="13"/>
      <c r="F158" s="3">
        <v>0</v>
      </c>
      <c r="G158" s="7">
        <v>127</v>
      </c>
      <c r="H158" s="7">
        <v>0</v>
      </c>
      <c r="I158" s="7">
        <v>90</v>
      </c>
      <c r="J158" s="7" t="s">
        <v>138</v>
      </c>
      <c r="K158" s="7" t="s">
        <v>8</v>
      </c>
      <c r="L158" s="7" t="s">
        <v>8</v>
      </c>
      <c r="M158" s="11" t="str">
        <f t="shared" si="45"/>
        <v xml:space="preserve">"AO28 Tube Age", </v>
      </c>
      <c r="N158" s="11" t="str">
        <f t="shared" si="46"/>
        <v xml:space="preserve">NULL, </v>
      </c>
      <c r="O158" s="11" t="str">
        <f t="shared" si="37"/>
        <v xml:space="preserve">NULL, </v>
      </c>
      <c r="P158" s="11" t="str">
        <f t="shared" si="47"/>
        <v xml:space="preserve">tm_pot, </v>
      </c>
      <c r="Q158" s="10" t="str">
        <f t="shared" si="39"/>
        <v xml:space="preserve">  {"AO28 Tube Age", -1, -1, 90, NULL, NULL, tm_pot, 0, 127, 0},  // Idx 156</v>
      </c>
      <c r="R158" s="6"/>
    </row>
    <row r="159" spans="1:18" x14ac:dyDescent="0.25">
      <c r="A159" s="16">
        <f t="shared" si="34"/>
        <v>157</v>
      </c>
      <c r="B159" s="30" t="s">
        <v>182</v>
      </c>
      <c r="C159" s="13">
        <v>-1</v>
      </c>
      <c r="D159" s="13">
        <v>-1</v>
      </c>
      <c r="E159" s="13"/>
      <c r="F159" s="3">
        <v>0</v>
      </c>
      <c r="G159" s="7">
        <v>127</v>
      </c>
      <c r="H159" s="7">
        <v>0</v>
      </c>
      <c r="I159" s="7">
        <v>82</v>
      </c>
      <c r="J159" s="7" t="s">
        <v>138</v>
      </c>
      <c r="K159" s="7" t="s">
        <v>8</v>
      </c>
      <c r="L159" s="7" t="s">
        <v>8</v>
      </c>
      <c r="M159" s="11" t="str">
        <f t="shared" si="45"/>
        <v xml:space="preserve">"Upper Level", </v>
      </c>
      <c r="N159" s="11" t="str">
        <f t="shared" si="46"/>
        <v xml:space="preserve">NULL, </v>
      </c>
      <c r="O159" s="11" t="str">
        <f t="shared" si="37"/>
        <v xml:space="preserve">NULL, </v>
      </c>
      <c r="P159" s="11" t="str">
        <f t="shared" si="47"/>
        <v xml:space="preserve">tm_pot, </v>
      </c>
      <c r="Q159" s="10" t="str">
        <f t="shared" si="39"/>
        <v xml:space="preserve">  {"Upper Level", -1, -1, 82, NULL, NULL, tm_pot, 0, 127, 0},  // Idx 157</v>
      </c>
      <c r="R159" s="6"/>
    </row>
    <row r="160" spans="1:18" x14ac:dyDescent="0.25">
      <c r="A160" s="16">
        <f t="shared" si="34"/>
        <v>158</v>
      </c>
      <c r="B160" s="30" t="s">
        <v>183</v>
      </c>
      <c r="C160" s="13">
        <v>-1</v>
      </c>
      <c r="D160" s="13">
        <v>-1</v>
      </c>
      <c r="E160" s="13"/>
      <c r="F160" s="3">
        <v>0</v>
      </c>
      <c r="G160" s="7">
        <v>127</v>
      </c>
      <c r="H160" s="7">
        <v>0</v>
      </c>
      <c r="I160" s="7">
        <v>83</v>
      </c>
      <c r="J160" s="7" t="s">
        <v>138</v>
      </c>
      <c r="K160" s="7" t="s">
        <v>8</v>
      </c>
      <c r="L160" s="7" t="s">
        <v>8</v>
      </c>
      <c r="M160" s="11" t="str">
        <f t="shared" si="45"/>
        <v xml:space="preserve">"Lower Level", </v>
      </c>
      <c r="N160" s="11" t="str">
        <f t="shared" si="46"/>
        <v xml:space="preserve">NULL, </v>
      </c>
      <c r="O160" s="11" t="str">
        <f t="shared" si="37"/>
        <v xml:space="preserve">NULL, </v>
      </c>
      <c r="P160" s="11" t="str">
        <f t="shared" si="47"/>
        <v xml:space="preserve">tm_pot, </v>
      </c>
      <c r="Q160" s="10" t="str">
        <f t="shared" si="39"/>
        <v xml:space="preserve">  {"Lower Level", -1, -1, 83, NULL, NULL, tm_pot, 0, 127, 0},  // Idx 158</v>
      </c>
      <c r="R160" s="6"/>
    </row>
    <row r="161" spans="1:18" x14ac:dyDescent="0.25">
      <c r="A161" s="16">
        <f t="shared" si="34"/>
        <v>159</v>
      </c>
      <c r="B161" s="30" t="s">
        <v>184</v>
      </c>
      <c r="C161" s="13">
        <v>-1</v>
      </c>
      <c r="D161" s="13">
        <v>-1</v>
      </c>
      <c r="E161" s="13"/>
      <c r="F161" s="3">
        <v>0</v>
      </c>
      <c r="G161" s="7">
        <v>127</v>
      </c>
      <c r="H161" s="7">
        <v>0</v>
      </c>
      <c r="I161" s="7">
        <v>84</v>
      </c>
      <c r="J161" s="7" t="s">
        <v>138</v>
      </c>
      <c r="K161" s="7" t="s">
        <v>8</v>
      </c>
      <c r="L161" s="7" t="s">
        <v>8</v>
      </c>
      <c r="M161" s="11" t="str">
        <f t="shared" si="45"/>
        <v xml:space="preserve">"Pedal Level", </v>
      </c>
      <c r="N161" s="11" t="str">
        <f t="shared" si="46"/>
        <v xml:space="preserve">NULL, </v>
      </c>
      <c r="O161" s="11" t="str">
        <f t="shared" si="37"/>
        <v xml:space="preserve">NULL, </v>
      </c>
      <c r="P161" s="11" t="str">
        <f t="shared" si="47"/>
        <v xml:space="preserve">tm_pot, </v>
      </c>
      <c r="Q161" s="10" t="str">
        <f t="shared" si="39"/>
        <v xml:space="preserve">  {"Pedal Level", -1, -1, 84, NULL, NULL, tm_pot, 0, 127, 0},  // Idx 159</v>
      </c>
      <c r="R161" s="6"/>
    </row>
    <row r="162" spans="1:18" x14ac:dyDescent="0.25">
      <c r="A162" s="16">
        <f t="shared" si="34"/>
        <v>160</v>
      </c>
      <c r="B162" s="30" t="s">
        <v>185</v>
      </c>
      <c r="C162" s="13">
        <v>-1</v>
      </c>
      <c r="D162" s="13">
        <v>-1</v>
      </c>
      <c r="E162" s="13"/>
      <c r="F162" s="3">
        <v>0</v>
      </c>
      <c r="G162" s="7">
        <v>127</v>
      </c>
      <c r="H162" s="7">
        <v>0</v>
      </c>
      <c r="I162" s="7">
        <v>85</v>
      </c>
      <c r="J162" s="7" t="s">
        <v>138</v>
      </c>
      <c r="K162" s="7" t="s">
        <v>8</v>
      </c>
      <c r="L162" s="7" t="s">
        <v>8</v>
      </c>
      <c r="M162" s="11" t="str">
        <f t="shared" si="45"/>
        <v xml:space="preserve">"Perc Level", </v>
      </c>
      <c r="N162" s="11" t="str">
        <f t="shared" si="46"/>
        <v xml:space="preserve">NULL, </v>
      </c>
      <c r="O162" s="11" t="str">
        <f t="shared" si="37"/>
        <v xml:space="preserve">NULL, </v>
      </c>
      <c r="P162" s="11" t="str">
        <f t="shared" si="47"/>
        <v xml:space="preserve">tm_pot, </v>
      </c>
      <c r="Q162" s="10" t="str">
        <f t="shared" si="39"/>
        <v xml:space="preserve">  {"Perc Level", -1, -1, 85, NULL, NULL, tm_pot, 0, 127, 0},  // Idx 160</v>
      </c>
      <c r="R162" s="6"/>
    </row>
    <row r="163" spans="1:18" x14ac:dyDescent="0.25">
      <c r="A163" s="16">
        <f t="shared" si="34"/>
        <v>161</v>
      </c>
      <c r="B163" s="33" t="s">
        <v>155</v>
      </c>
      <c r="C163" s="13">
        <v>-1</v>
      </c>
      <c r="D163" s="13">
        <v>-1</v>
      </c>
      <c r="E163" s="13"/>
      <c r="F163" s="3">
        <v>0</v>
      </c>
      <c r="G163" s="3">
        <v>127</v>
      </c>
      <c r="H163" s="7">
        <v>0</v>
      </c>
      <c r="I163" s="7">
        <v>400</v>
      </c>
      <c r="J163" s="7" t="s">
        <v>138</v>
      </c>
      <c r="K163" s="7" t="s">
        <v>8</v>
      </c>
      <c r="L163" s="7" t="s">
        <v>8</v>
      </c>
      <c r="M163" s="11" t="str">
        <f t="shared" si="45"/>
        <v xml:space="preserve">"Reverb 1 Level ", </v>
      </c>
      <c r="N163" s="11" t="str">
        <f t="shared" si="46"/>
        <v xml:space="preserve">NULL, </v>
      </c>
      <c r="O163" s="11" t="str">
        <f t="shared" si="37"/>
        <v xml:space="preserve">NULL, </v>
      </c>
      <c r="P163" s="11" t="str">
        <f t="shared" si="47"/>
        <v xml:space="preserve">tm_pot, </v>
      </c>
      <c r="Q163" s="10" t="str">
        <f t="shared" si="39"/>
        <v xml:space="preserve">  {"Reverb 1 Level ", -1, -1, 400, NULL, NULL, tm_pot, 0, 127, 0},  // Idx 161</v>
      </c>
      <c r="R163" s="6"/>
    </row>
    <row r="164" spans="1:18" x14ac:dyDescent="0.25">
      <c r="A164" s="16">
        <f t="shared" si="34"/>
        <v>162</v>
      </c>
      <c r="B164" s="33" t="s">
        <v>156</v>
      </c>
      <c r="C164" s="13">
        <v>-1</v>
      </c>
      <c r="D164" s="13">
        <v>-1</v>
      </c>
      <c r="E164" s="13"/>
      <c r="F164" s="3">
        <v>0</v>
      </c>
      <c r="G164" s="3">
        <v>127</v>
      </c>
      <c r="H164" s="7">
        <v>0</v>
      </c>
      <c r="I164" s="7">
        <v>401</v>
      </c>
      <c r="J164" s="7" t="s">
        <v>138</v>
      </c>
      <c r="K164" s="7" t="s">
        <v>8</v>
      </c>
      <c r="L164" s="7" t="s">
        <v>8</v>
      </c>
      <c r="M164" s="11" t="str">
        <f t="shared" si="45"/>
        <v xml:space="preserve">"Reverb 2 Level ", </v>
      </c>
      <c r="N164" s="11" t="str">
        <f t="shared" si="46"/>
        <v xml:space="preserve">NULL, </v>
      </c>
      <c r="O164" s="11" t="str">
        <f t="shared" si="37"/>
        <v xml:space="preserve">NULL, </v>
      </c>
      <c r="P164" s="11" t="str">
        <f t="shared" si="47"/>
        <v xml:space="preserve">tm_pot, </v>
      </c>
      <c r="Q164" s="10" t="str">
        <f t="shared" si="39"/>
        <v xml:space="preserve">  {"Reverb 2 Level ", -1, -1, 401, NULL, NULL, tm_pot, 0, 127, 0},  // Idx 162</v>
      </c>
      <c r="R164" s="6"/>
    </row>
    <row r="165" spans="1:18" x14ac:dyDescent="0.25">
      <c r="A165" s="16">
        <f t="shared" si="34"/>
        <v>163</v>
      </c>
      <c r="B165" s="33" t="s">
        <v>157</v>
      </c>
      <c r="C165" s="13">
        <v>-1</v>
      </c>
      <c r="D165" s="13">
        <v>-1</v>
      </c>
      <c r="E165" s="13"/>
      <c r="F165" s="3">
        <v>0</v>
      </c>
      <c r="G165" s="3">
        <v>127</v>
      </c>
      <c r="H165" s="7">
        <v>0</v>
      </c>
      <c r="I165" s="7">
        <v>402</v>
      </c>
      <c r="J165" s="7" t="s">
        <v>138</v>
      </c>
      <c r="K165" s="7" t="s">
        <v>8</v>
      </c>
      <c r="L165" s="7" t="s">
        <v>8</v>
      </c>
      <c r="M165" s="11" t="str">
        <f t="shared" si="45"/>
        <v xml:space="preserve">"Reverb 3 Level ", </v>
      </c>
      <c r="N165" s="11" t="str">
        <f t="shared" si="46"/>
        <v xml:space="preserve">NULL, </v>
      </c>
      <c r="O165" s="11" t="str">
        <f t="shared" si="37"/>
        <v xml:space="preserve">NULL, </v>
      </c>
      <c r="P165" s="11" t="str">
        <f t="shared" si="47"/>
        <v xml:space="preserve">tm_pot, </v>
      </c>
      <c r="Q165" s="10" t="str">
        <f t="shared" si="39"/>
        <v xml:space="preserve">  {"Reverb 3 Level ", -1, -1, 402, NULL, NULL, tm_pot, 0, 127, 0},  // Idx 163</v>
      </c>
      <c r="R165" s="6"/>
    </row>
    <row r="166" spans="1:18" x14ac:dyDescent="0.25">
      <c r="A166" s="16">
        <f t="shared" si="34"/>
        <v>164</v>
      </c>
      <c r="B166" s="31" t="s">
        <v>129</v>
      </c>
      <c r="C166" s="13">
        <v>-1</v>
      </c>
      <c r="D166" s="13">
        <v>-1</v>
      </c>
      <c r="E166" s="13"/>
      <c r="F166" s="3">
        <v>0</v>
      </c>
      <c r="G166" s="3">
        <v>1</v>
      </c>
      <c r="H166" s="7">
        <v>0</v>
      </c>
      <c r="I166" s="3">
        <v>159</v>
      </c>
      <c r="J166" s="7" t="s">
        <v>26</v>
      </c>
      <c r="K166" s="7" t="s">
        <v>8</v>
      </c>
      <c r="L166" s="7" t="s">
        <v>8</v>
      </c>
      <c r="M166" s="11" t="str">
        <f t="shared" si="45"/>
        <v xml:space="preserve">"Bypass", </v>
      </c>
      <c r="N166" s="11" t="str">
        <f t="shared" si="46"/>
        <v xml:space="preserve">NULL, </v>
      </c>
      <c r="O166" s="11" t="str">
        <f t="shared" si="37"/>
        <v xml:space="preserve">NULL, </v>
      </c>
      <c r="P166" s="11" t="str">
        <f t="shared" si="47"/>
        <v xml:space="preserve">tm_tab, </v>
      </c>
      <c r="Q166" s="10" t="str">
        <f t="shared" si="39"/>
        <v xml:space="preserve">  {"Bypass", -1, -1, 159, NULL, NULL, tm_tab, 0, 1, 0},  // Idx 164</v>
      </c>
      <c r="R166" s="6"/>
    </row>
    <row r="167" spans="1:18" x14ac:dyDescent="0.25">
      <c r="A167" s="16">
        <f t="shared" si="34"/>
        <v>165</v>
      </c>
      <c r="B167" s="31" t="s">
        <v>130</v>
      </c>
      <c r="C167" s="13">
        <v>-1</v>
      </c>
      <c r="D167" s="13">
        <v>-1</v>
      </c>
      <c r="E167" s="13"/>
      <c r="F167" s="3">
        <v>0</v>
      </c>
      <c r="G167" s="3">
        <v>127</v>
      </c>
      <c r="H167" s="7">
        <v>0</v>
      </c>
      <c r="I167" s="3">
        <v>112</v>
      </c>
      <c r="J167" s="7" t="s">
        <v>138</v>
      </c>
      <c r="K167" s="7" t="s">
        <v>8</v>
      </c>
      <c r="L167" s="7" t="s">
        <v>8</v>
      </c>
      <c r="M167" s="11" t="str">
        <f t="shared" si="45"/>
        <v xml:space="preserve">"Bass Level", </v>
      </c>
      <c r="N167" s="11" t="str">
        <f t="shared" si="46"/>
        <v xml:space="preserve">NULL, </v>
      </c>
      <c r="O167" s="11" t="str">
        <f t="shared" si="37"/>
        <v xml:space="preserve">NULL, </v>
      </c>
      <c r="P167" s="11" t="str">
        <f t="shared" si="47"/>
        <v xml:space="preserve">tm_pot, </v>
      </c>
      <c r="Q167" s="10" t="str">
        <f t="shared" si="39"/>
        <v xml:space="preserve">  {"Bass Level", -1, -1, 112, NULL, NULL, tm_pot, 0, 127, 0},  // Idx 165</v>
      </c>
      <c r="R167" s="6"/>
    </row>
    <row r="168" spans="1:18" x14ac:dyDescent="0.25">
      <c r="A168" s="16">
        <f t="shared" si="34"/>
        <v>166</v>
      </c>
      <c r="B168" s="31" t="s">
        <v>131</v>
      </c>
      <c r="C168" s="13">
        <v>-1</v>
      </c>
      <c r="D168" s="13">
        <v>-1</v>
      </c>
      <c r="E168" s="13"/>
      <c r="F168" s="3">
        <v>0</v>
      </c>
      <c r="G168" s="3">
        <v>127</v>
      </c>
      <c r="H168" s="7">
        <v>0</v>
      </c>
      <c r="I168" s="3">
        <v>113</v>
      </c>
      <c r="J168" s="7" t="s">
        <v>138</v>
      </c>
      <c r="K168" s="7" t="s">
        <v>8</v>
      </c>
      <c r="L168" s="7" t="s">
        <v>8</v>
      </c>
      <c r="M168" s="11" t="str">
        <f t="shared" si="45"/>
        <v xml:space="preserve">"Bass Equ Frq", </v>
      </c>
      <c r="N168" s="11" t="str">
        <f t="shared" si="46"/>
        <v xml:space="preserve">NULL, </v>
      </c>
      <c r="O168" s="11" t="str">
        <f t="shared" si="37"/>
        <v xml:space="preserve">NULL, </v>
      </c>
      <c r="P168" s="11" t="str">
        <f t="shared" si="47"/>
        <v xml:space="preserve">tm_pot, </v>
      </c>
      <c r="Q168" s="10" t="str">
        <f t="shared" si="39"/>
        <v xml:space="preserve">  {"Bass Equ Frq", -1, -1, 113, NULL, NULL, tm_pot, 0, 127, 0},  // Idx 166</v>
      </c>
      <c r="R168" s="6"/>
    </row>
    <row r="169" spans="1:18" x14ac:dyDescent="0.25">
      <c r="A169" s="16">
        <f t="shared" si="34"/>
        <v>167</v>
      </c>
      <c r="B169" s="31" t="s">
        <v>134</v>
      </c>
      <c r="C169" s="13">
        <v>-1</v>
      </c>
      <c r="D169" s="13">
        <v>-1</v>
      </c>
      <c r="E169" s="13"/>
      <c r="F169" s="3">
        <v>0</v>
      </c>
      <c r="G169" s="3">
        <v>127</v>
      </c>
      <c r="H169" s="7">
        <v>0</v>
      </c>
      <c r="I169" s="3">
        <v>114</v>
      </c>
      <c r="J169" s="7" t="s">
        <v>138</v>
      </c>
      <c r="K169" s="7" t="s">
        <v>8</v>
      </c>
      <c r="L169" s="7" t="s">
        <v>8</v>
      </c>
      <c r="M169" s="11" t="str">
        <f t="shared" si="45"/>
        <v xml:space="preserve">"Bass Equ Q", </v>
      </c>
      <c r="N169" s="11" t="str">
        <f t="shared" si="46"/>
        <v xml:space="preserve">NULL, </v>
      </c>
      <c r="O169" s="11" t="str">
        <f t="shared" si="37"/>
        <v xml:space="preserve">NULL, </v>
      </c>
      <c r="P169" s="11" t="str">
        <f t="shared" si="47"/>
        <v xml:space="preserve">tm_pot, </v>
      </c>
      <c r="Q169" s="10" t="str">
        <f t="shared" si="39"/>
        <v xml:space="preserve">  {"Bass Equ Q", -1, -1, 114, NULL, NULL, tm_pot, 0, 127, 0},  // Idx 167</v>
      </c>
      <c r="R169" s="6"/>
    </row>
    <row r="170" spans="1:18" x14ac:dyDescent="0.25">
      <c r="A170" s="16">
        <f t="shared" si="34"/>
        <v>168</v>
      </c>
      <c r="B170" s="31" t="s">
        <v>132</v>
      </c>
      <c r="C170" s="13">
        <v>-1</v>
      </c>
      <c r="D170" s="13">
        <v>-1</v>
      </c>
      <c r="E170" s="13"/>
      <c r="F170" s="3">
        <v>0</v>
      </c>
      <c r="G170" s="3">
        <v>127</v>
      </c>
      <c r="H170" s="7">
        <v>0</v>
      </c>
      <c r="I170" s="3">
        <v>115</v>
      </c>
      <c r="J170" s="7" t="s">
        <v>138</v>
      </c>
      <c r="K170" s="7" t="s">
        <v>8</v>
      </c>
      <c r="L170" s="7" t="s">
        <v>8</v>
      </c>
      <c r="M170" s="11" t="str">
        <f t="shared" si="45"/>
        <v xml:space="preserve">"Mid Level", </v>
      </c>
      <c r="N170" s="11" t="str">
        <f t="shared" si="46"/>
        <v xml:space="preserve">NULL, </v>
      </c>
      <c r="O170" s="11" t="str">
        <f t="shared" si="37"/>
        <v xml:space="preserve">NULL, </v>
      </c>
      <c r="P170" s="11" t="str">
        <f t="shared" si="47"/>
        <v xml:space="preserve">tm_pot, </v>
      </c>
      <c r="Q170" s="10" t="str">
        <f t="shared" si="39"/>
        <v xml:space="preserve">  {"Mid Level", -1, -1, 115, NULL, NULL, tm_pot, 0, 127, 0},  // Idx 168</v>
      </c>
      <c r="R170" s="6"/>
    </row>
    <row r="171" spans="1:18" x14ac:dyDescent="0.25">
      <c r="A171" s="16">
        <f t="shared" si="34"/>
        <v>169</v>
      </c>
      <c r="B171" s="31" t="s">
        <v>47</v>
      </c>
      <c r="C171" s="13">
        <v>-1</v>
      </c>
      <c r="D171" s="13">
        <v>-1</v>
      </c>
      <c r="E171" s="13"/>
      <c r="F171" s="3">
        <v>0</v>
      </c>
      <c r="G171" s="3">
        <v>127</v>
      </c>
      <c r="H171" s="7">
        <v>0</v>
      </c>
      <c r="I171" s="3">
        <v>116</v>
      </c>
      <c r="J171" s="7" t="s">
        <v>138</v>
      </c>
      <c r="K171" s="7" t="s">
        <v>8</v>
      </c>
      <c r="L171" s="7" t="s">
        <v>8</v>
      </c>
      <c r="M171" s="11" t="str">
        <f t="shared" si="45"/>
        <v xml:space="preserve">"Mid Equ Frq  ", </v>
      </c>
      <c r="N171" s="11" t="str">
        <f t="shared" si="46"/>
        <v xml:space="preserve">NULL, </v>
      </c>
      <c r="O171" s="11" t="str">
        <f t="shared" si="37"/>
        <v xml:space="preserve">NULL, </v>
      </c>
      <c r="P171" s="11" t="str">
        <f t="shared" si="47"/>
        <v xml:space="preserve">tm_pot, </v>
      </c>
      <c r="Q171" s="10" t="str">
        <f t="shared" si="39"/>
        <v xml:space="preserve">  {"Mid Equ Frq  ", -1, -1, 116, NULL, NULL, tm_pot, 0, 127, 0},  // Idx 169</v>
      </c>
      <c r="R171" s="6"/>
    </row>
    <row r="172" spans="1:18" x14ac:dyDescent="0.25">
      <c r="A172" s="16">
        <f t="shared" si="34"/>
        <v>170</v>
      </c>
      <c r="B172" s="31" t="s">
        <v>133</v>
      </c>
      <c r="C172" s="13">
        <v>-1</v>
      </c>
      <c r="D172" s="13">
        <v>-1</v>
      </c>
      <c r="E172" s="13"/>
      <c r="F172" s="3">
        <v>0</v>
      </c>
      <c r="G172" s="3">
        <v>127</v>
      </c>
      <c r="H172" s="7">
        <v>0</v>
      </c>
      <c r="I172" s="3">
        <v>117</v>
      </c>
      <c r="J172" s="7" t="s">
        <v>138</v>
      </c>
      <c r="K172" s="7" t="s">
        <v>8</v>
      </c>
      <c r="L172" s="7" t="s">
        <v>8</v>
      </c>
      <c r="M172" s="11" t="str">
        <f t="shared" si="45"/>
        <v xml:space="preserve">"Mid Equ Q", </v>
      </c>
      <c r="N172" s="11" t="str">
        <f t="shared" si="46"/>
        <v xml:space="preserve">NULL, </v>
      </c>
      <c r="O172" s="11" t="str">
        <f t="shared" si="37"/>
        <v xml:space="preserve">NULL, </v>
      </c>
      <c r="P172" s="11" t="str">
        <f t="shared" si="47"/>
        <v xml:space="preserve">tm_pot, </v>
      </c>
      <c r="Q172" s="10" t="str">
        <f t="shared" si="39"/>
        <v xml:space="preserve">  {"Mid Equ Q", -1, -1, 117, NULL, NULL, tm_pot, 0, 127, 0},  // Idx 170</v>
      </c>
      <c r="R172" s="6"/>
    </row>
    <row r="173" spans="1:18" x14ac:dyDescent="0.25">
      <c r="A173" s="16">
        <f t="shared" si="34"/>
        <v>171</v>
      </c>
      <c r="B173" s="31" t="s">
        <v>120</v>
      </c>
      <c r="C173" s="13">
        <v>-1</v>
      </c>
      <c r="D173" s="13">
        <v>-1</v>
      </c>
      <c r="E173" s="13"/>
      <c r="F173" s="3">
        <v>0</v>
      </c>
      <c r="G173" s="3">
        <v>127</v>
      </c>
      <c r="H173" s="7">
        <v>0</v>
      </c>
      <c r="I173" s="3">
        <v>118</v>
      </c>
      <c r="J173" s="7" t="s">
        <v>138</v>
      </c>
      <c r="K173" s="7" t="s">
        <v>8</v>
      </c>
      <c r="L173" s="7" t="s">
        <v>8</v>
      </c>
      <c r="M173" s="11" t="str">
        <f t="shared" si="45"/>
        <v xml:space="preserve">"Treble Level", </v>
      </c>
      <c r="N173" s="11" t="str">
        <f t="shared" si="46"/>
        <v xml:space="preserve">NULL, </v>
      </c>
      <c r="O173" s="11" t="str">
        <f t="shared" si="37"/>
        <v xml:space="preserve">NULL, </v>
      </c>
      <c r="P173" s="11" t="str">
        <f t="shared" ref="P173:P204" si="48">IF(J173="NULL",CONCATENATE(J173,", "),CONCATENATE("tm_",J173,", "))</f>
        <v xml:space="preserve">tm_pot, </v>
      </c>
      <c r="Q173" s="10" t="str">
        <f t="shared" si="39"/>
        <v xml:space="preserve">  {"Treble Level", -1, -1, 118, NULL, NULL, tm_pot, 0, 127, 0},  // Idx 171</v>
      </c>
      <c r="R173" s="6"/>
    </row>
    <row r="174" spans="1:18" x14ac:dyDescent="0.25">
      <c r="A174" s="16">
        <f t="shared" si="34"/>
        <v>172</v>
      </c>
      <c r="B174" s="31" t="s">
        <v>137</v>
      </c>
      <c r="C174" s="13">
        <v>-1</v>
      </c>
      <c r="D174" s="13">
        <v>-1</v>
      </c>
      <c r="E174" s="13"/>
      <c r="F174" s="3">
        <v>0</v>
      </c>
      <c r="G174" s="3">
        <v>127</v>
      </c>
      <c r="H174" s="7">
        <v>0</v>
      </c>
      <c r="I174" s="3">
        <v>119</v>
      </c>
      <c r="J174" s="7" t="s">
        <v>138</v>
      </c>
      <c r="K174" s="7" t="s">
        <v>8</v>
      </c>
      <c r="L174" s="7" t="s">
        <v>8</v>
      </c>
      <c r="M174" s="11" t="str">
        <f t="shared" si="45"/>
        <v xml:space="preserve">"Treb Equ Frq", </v>
      </c>
      <c r="N174" s="11" t="str">
        <f t="shared" si="46"/>
        <v xml:space="preserve">NULL, </v>
      </c>
      <c r="O174" s="11" t="str">
        <f t="shared" si="37"/>
        <v xml:space="preserve">NULL, </v>
      </c>
      <c r="P174" s="11" t="str">
        <f t="shared" si="48"/>
        <v xml:space="preserve">tm_pot, </v>
      </c>
      <c r="Q174" s="10" t="str">
        <f t="shared" si="39"/>
        <v xml:space="preserve">  {"Treb Equ Frq", -1, -1, 119, NULL, NULL, tm_pot, 0, 127, 0},  // Idx 172</v>
      </c>
      <c r="R174" s="6"/>
    </row>
    <row r="175" spans="1:18" x14ac:dyDescent="0.25">
      <c r="A175" s="16">
        <f t="shared" si="34"/>
        <v>173</v>
      </c>
      <c r="B175" s="31" t="s">
        <v>136</v>
      </c>
      <c r="C175" s="13">
        <v>-1</v>
      </c>
      <c r="D175" s="13">
        <v>-1</v>
      </c>
      <c r="E175" s="13"/>
      <c r="F175" s="3">
        <v>0</v>
      </c>
      <c r="G175" s="3">
        <v>127</v>
      </c>
      <c r="H175" s="7">
        <v>0</v>
      </c>
      <c r="I175" s="3">
        <v>120</v>
      </c>
      <c r="J175" s="7" t="s">
        <v>138</v>
      </c>
      <c r="K175" s="7" t="s">
        <v>8</v>
      </c>
      <c r="L175" s="7" t="s">
        <v>8</v>
      </c>
      <c r="M175" s="11" t="str">
        <f t="shared" si="45"/>
        <v xml:space="preserve">"Treb Equ Q", </v>
      </c>
      <c r="N175" s="11" t="str">
        <f t="shared" si="46"/>
        <v xml:space="preserve">NULL, </v>
      </c>
      <c r="O175" s="11" t="str">
        <f t="shared" si="37"/>
        <v xml:space="preserve">NULL, </v>
      </c>
      <c r="P175" s="11" t="str">
        <f t="shared" si="48"/>
        <v xml:space="preserve">tm_pot, </v>
      </c>
      <c r="Q175" s="10" t="str">
        <f t="shared" si="39"/>
        <v xml:space="preserve">  {"Treb Equ Q", -1, -1, 120, NULL, NULL, tm_pot, 0, 127, 0},  // Idx 173</v>
      </c>
      <c r="R175" s="6"/>
    </row>
    <row r="176" spans="1:18" x14ac:dyDescent="0.25">
      <c r="A176" s="16">
        <f t="shared" si="34"/>
        <v>174</v>
      </c>
      <c r="B176" s="31" t="s">
        <v>135</v>
      </c>
      <c r="C176" s="13">
        <v>-1</v>
      </c>
      <c r="D176" s="13">
        <v>-1</v>
      </c>
      <c r="E176" s="13"/>
      <c r="F176" s="3">
        <v>0</v>
      </c>
      <c r="G176" s="3">
        <v>1</v>
      </c>
      <c r="H176" s="7">
        <v>0</v>
      </c>
      <c r="I176" s="3">
        <v>121</v>
      </c>
      <c r="J176" s="7" t="s">
        <v>26</v>
      </c>
      <c r="K176" s="7" t="s">
        <v>8</v>
      </c>
      <c r="L176" s="7" t="s">
        <v>8</v>
      </c>
      <c r="M176" s="11" t="str">
        <f t="shared" si="45"/>
        <v xml:space="preserve">"Parametr B/T", </v>
      </c>
      <c r="N176" s="11" t="str">
        <f t="shared" si="46"/>
        <v xml:space="preserve">NULL, </v>
      </c>
      <c r="O176" s="11" t="str">
        <f t="shared" si="37"/>
        <v xml:space="preserve">NULL, </v>
      </c>
      <c r="P176" s="11" t="str">
        <f t="shared" si="48"/>
        <v xml:space="preserve">tm_tab, </v>
      </c>
      <c r="Q176" s="10" t="str">
        <f t="shared" si="39"/>
        <v xml:space="preserve">  {"Parametr B/T", -1, -1, 121, NULL, NULL, tm_tab, 0, 1, 0},  // Idx 174</v>
      </c>
      <c r="R176" s="6"/>
    </row>
    <row r="177" spans="1:18" x14ac:dyDescent="0.25">
      <c r="A177" s="16">
        <f t="shared" si="34"/>
        <v>175</v>
      </c>
      <c r="B177" s="29" t="s">
        <v>112</v>
      </c>
      <c r="C177" s="13">
        <v>-1</v>
      </c>
      <c r="D177" s="13">
        <v>-1</v>
      </c>
      <c r="E177" s="13"/>
      <c r="F177" s="3">
        <v>0</v>
      </c>
      <c r="G177" s="3">
        <v>63</v>
      </c>
      <c r="H177" s="7">
        <v>0</v>
      </c>
      <c r="I177" s="7">
        <v>448</v>
      </c>
      <c r="J177" s="7" t="s">
        <v>138</v>
      </c>
      <c r="K177" s="7" t="s">
        <v>8</v>
      </c>
      <c r="L177" s="7" t="s">
        <v>8</v>
      </c>
      <c r="M177" s="11" t="str">
        <f t="shared" ref="M177:M184" si="49">CONCATENATE("""",B177,""", ")</f>
        <v xml:space="preserve">"Horn SlowSpeed", </v>
      </c>
      <c r="N177" s="11" t="str">
        <f t="shared" ref="N177:N184" si="50">IF(K177="NULL",CONCATENATE(K177,", "),CONCATENATE("&amp;",K177,", "))</f>
        <v xml:space="preserve">NULL, </v>
      </c>
      <c r="O177" s="11" t="str">
        <f t="shared" si="37"/>
        <v xml:space="preserve">NULL, </v>
      </c>
      <c r="P177" s="11" t="str">
        <f t="shared" si="48"/>
        <v xml:space="preserve">tm_pot, </v>
      </c>
      <c r="Q177" s="10" t="str">
        <f t="shared" si="39"/>
        <v xml:space="preserve">  {"Horn SlowSpeed", -1, -1, 448, NULL, NULL, tm_pot, 0, 63, 0},  // Idx 175</v>
      </c>
      <c r="R177" s="6"/>
    </row>
    <row r="178" spans="1:18" x14ac:dyDescent="0.25">
      <c r="A178" s="16">
        <f t="shared" si="34"/>
        <v>176</v>
      </c>
      <c r="B178" s="29" t="s">
        <v>113</v>
      </c>
      <c r="C178" s="13">
        <v>-1</v>
      </c>
      <c r="D178" s="13">
        <v>-1</v>
      </c>
      <c r="E178" s="13"/>
      <c r="F178" s="3">
        <v>0</v>
      </c>
      <c r="G178" s="3">
        <v>63</v>
      </c>
      <c r="H178" s="7">
        <v>0</v>
      </c>
      <c r="I178" s="7">
        <v>449</v>
      </c>
      <c r="J178" s="7" t="s">
        <v>138</v>
      </c>
      <c r="K178" s="7" t="s">
        <v>8</v>
      </c>
      <c r="L178" s="7" t="s">
        <v>8</v>
      </c>
      <c r="M178" s="11" t="str">
        <f t="shared" si="49"/>
        <v xml:space="preserve">"Rotr SlowSpeed", </v>
      </c>
      <c r="N178" s="11" t="str">
        <f t="shared" si="50"/>
        <v xml:space="preserve">NULL, </v>
      </c>
      <c r="O178" s="11" t="str">
        <f t="shared" si="37"/>
        <v xml:space="preserve">NULL, </v>
      </c>
      <c r="P178" s="11" t="str">
        <f t="shared" si="48"/>
        <v xml:space="preserve">tm_pot, </v>
      </c>
      <c r="Q178" s="10" t="str">
        <f t="shared" si="39"/>
        <v xml:space="preserve">  {"Rotr SlowSpeed", -1, -1, 449, NULL, NULL, tm_pot, 0, 63, 0},  // Idx 176</v>
      </c>
      <c r="R178" s="6"/>
    </row>
    <row r="179" spans="1:18" x14ac:dyDescent="0.25">
      <c r="A179" s="16">
        <f t="shared" si="34"/>
        <v>177</v>
      </c>
      <c r="B179" s="29" t="s">
        <v>114</v>
      </c>
      <c r="C179" s="13">
        <v>-1</v>
      </c>
      <c r="D179" s="13">
        <v>-1</v>
      </c>
      <c r="E179" s="13"/>
      <c r="F179" s="3">
        <v>0</v>
      </c>
      <c r="G179" s="3">
        <v>127</v>
      </c>
      <c r="H179" s="7">
        <v>0</v>
      </c>
      <c r="I179" s="7">
        <v>450</v>
      </c>
      <c r="J179" s="7" t="s">
        <v>138</v>
      </c>
      <c r="K179" s="7" t="s">
        <v>8</v>
      </c>
      <c r="L179" s="7" t="s">
        <v>8</v>
      </c>
      <c r="M179" s="11" t="str">
        <f t="shared" si="49"/>
        <v xml:space="preserve">"Horn FastSpeed", </v>
      </c>
      <c r="N179" s="11" t="str">
        <f t="shared" si="50"/>
        <v xml:space="preserve">NULL, </v>
      </c>
      <c r="O179" s="11" t="str">
        <f t="shared" si="37"/>
        <v xml:space="preserve">NULL, </v>
      </c>
      <c r="P179" s="11" t="str">
        <f t="shared" si="48"/>
        <v xml:space="preserve">tm_pot, </v>
      </c>
      <c r="Q179" s="10" t="str">
        <f t="shared" si="39"/>
        <v xml:space="preserve">  {"Horn FastSpeed", -1, -1, 450, NULL, NULL, tm_pot, 0, 127, 0},  // Idx 177</v>
      </c>
      <c r="R179" s="6"/>
    </row>
    <row r="180" spans="1:18" x14ac:dyDescent="0.25">
      <c r="A180" s="16">
        <f t="shared" si="34"/>
        <v>178</v>
      </c>
      <c r="B180" s="29" t="s">
        <v>115</v>
      </c>
      <c r="C180" s="13">
        <v>-1</v>
      </c>
      <c r="D180" s="13">
        <v>-1</v>
      </c>
      <c r="E180" s="13"/>
      <c r="F180" s="3">
        <v>0</v>
      </c>
      <c r="G180" s="3">
        <v>127</v>
      </c>
      <c r="H180" s="7">
        <v>0</v>
      </c>
      <c r="I180" s="7">
        <v>451</v>
      </c>
      <c r="J180" s="7" t="s">
        <v>138</v>
      </c>
      <c r="K180" s="7" t="s">
        <v>8</v>
      </c>
      <c r="L180" s="7" t="s">
        <v>8</v>
      </c>
      <c r="M180" s="11" t="str">
        <f t="shared" si="49"/>
        <v xml:space="preserve">"Rotr FastSpeed", </v>
      </c>
      <c r="N180" s="11" t="str">
        <f t="shared" si="50"/>
        <v xml:space="preserve">NULL, </v>
      </c>
      <c r="O180" s="11" t="str">
        <f t="shared" si="37"/>
        <v xml:space="preserve">NULL, </v>
      </c>
      <c r="P180" s="11" t="str">
        <f t="shared" si="48"/>
        <v xml:space="preserve">tm_pot, </v>
      </c>
      <c r="Q180" s="10" t="str">
        <f t="shared" si="39"/>
        <v xml:space="preserve">  {"Rotr FastSpeed", -1, -1, 451, NULL, NULL, tm_pot, 0, 127, 0},  // Idx 178</v>
      </c>
      <c r="R180" s="6"/>
    </row>
    <row r="181" spans="1:18" x14ac:dyDescent="0.25">
      <c r="A181" s="16">
        <f t="shared" si="34"/>
        <v>179</v>
      </c>
      <c r="B181" s="29" t="s">
        <v>116</v>
      </c>
      <c r="C181" s="13">
        <v>-1</v>
      </c>
      <c r="D181" s="13">
        <v>-1</v>
      </c>
      <c r="E181" s="13"/>
      <c r="F181" s="3">
        <v>0</v>
      </c>
      <c r="G181" s="3">
        <v>31</v>
      </c>
      <c r="H181" s="7">
        <v>0</v>
      </c>
      <c r="I181" s="7">
        <v>452</v>
      </c>
      <c r="J181" s="7" t="s">
        <v>138</v>
      </c>
      <c r="K181" s="7" t="s">
        <v>8</v>
      </c>
      <c r="L181" s="7" t="s">
        <v>8</v>
      </c>
      <c r="M181" s="11" t="str">
        <f t="shared" si="49"/>
        <v xml:space="preserve">"Horn RampUp   ", </v>
      </c>
      <c r="N181" s="11" t="str">
        <f t="shared" si="50"/>
        <v xml:space="preserve">NULL, </v>
      </c>
      <c r="O181" s="11" t="str">
        <f t="shared" si="37"/>
        <v xml:space="preserve">NULL, </v>
      </c>
      <c r="P181" s="11" t="str">
        <f t="shared" si="48"/>
        <v xml:space="preserve">tm_pot, </v>
      </c>
      <c r="Q181" s="10" t="str">
        <f t="shared" si="39"/>
        <v xml:space="preserve">  {"Horn RampUp   ", -1, -1, 452, NULL, NULL, tm_pot, 0, 31, 0},  // Idx 179</v>
      </c>
      <c r="R181" s="6"/>
    </row>
    <row r="182" spans="1:18" x14ac:dyDescent="0.25">
      <c r="A182" s="16">
        <f t="shared" si="34"/>
        <v>180</v>
      </c>
      <c r="B182" s="29" t="s">
        <v>117</v>
      </c>
      <c r="C182" s="13">
        <v>-1</v>
      </c>
      <c r="D182" s="13">
        <v>-1</v>
      </c>
      <c r="E182" s="13"/>
      <c r="F182" s="3">
        <v>0</v>
      </c>
      <c r="G182" s="3">
        <v>31</v>
      </c>
      <c r="H182" s="7">
        <v>0</v>
      </c>
      <c r="I182" s="7">
        <v>453</v>
      </c>
      <c r="J182" s="7" t="s">
        <v>138</v>
      </c>
      <c r="K182" s="7" t="s">
        <v>8</v>
      </c>
      <c r="L182" s="7" t="s">
        <v>8</v>
      </c>
      <c r="M182" s="11" t="str">
        <f t="shared" si="49"/>
        <v xml:space="preserve">"Rotor RampUp  ", </v>
      </c>
      <c r="N182" s="11" t="str">
        <f t="shared" si="50"/>
        <v xml:space="preserve">NULL, </v>
      </c>
      <c r="O182" s="11" t="str">
        <f t="shared" si="37"/>
        <v xml:space="preserve">NULL, </v>
      </c>
      <c r="P182" s="11" t="str">
        <f t="shared" si="48"/>
        <v xml:space="preserve">tm_pot, </v>
      </c>
      <c r="Q182" s="10" t="str">
        <f t="shared" si="39"/>
        <v xml:space="preserve">  {"Rotor RampUp  ", -1, -1, 453, NULL, NULL, tm_pot, 0, 31, 0},  // Idx 180</v>
      </c>
      <c r="R182" s="6"/>
    </row>
    <row r="183" spans="1:18" x14ac:dyDescent="0.25">
      <c r="A183" s="16">
        <f t="shared" si="34"/>
        <v>181</v>
      </c>
      <c r="B183" s="29" t="s">
        <v>118</v>
      </c>
      <c r="C183" s="13">
        <v>-1</v>
      </c>
      <c r="D183" s="13">
        <v>-1</v>
      </c>
      <c r="E183" s="13"/>
      <c r="F183" s="3">
        <v>0</v>
      </c>
      <c r="G183" s="3">
        <v>31</v>
      </c>
      <c r="H183" s="7">
        <v>0</v>
      </c>
      <c r="I183" s="7">
        <v>454</v>
      </c>
      <c r="J183" s="7" t="s">
        <v>138</v>
      </c>
      <c r="K183" s="7" t="s">
        <v>8</v>
      </c>
      <c r="L183" s="7" t="s">
        <v>8</v>
      </c>
      <c r="M183" s="11" t="str">
        <f t="shared" si="49"/>
        <v xml:space="preserve">"Horn RampDown ", </v>
      </c>
      <c r="N183" s="11" t="str">
        <f t="shared" si="50"/>
        <v xml:space="preserve">NULL, </v>
      </c>
      <c r="O183" s="11" t="str">
        <f t="shared" si="37"/>
        <v xml:space="preserve">NULL, </v>
      </c>
      <c r="P183" s="11" t="str">
        <f t="shared" si="48"/>
        <v xml:space="preserve">tm_pot, </v>
      </c>
      <c r="Q183" s="10" t="str">
        <f t="shared" si="39"/>
        <v xml:space="preserve">  {"Horn RampDown ", -1, -1, 454, NULL, NULL, tm_pot, 0, 31, 0},  // Idx 181</v>
      </c>
      <c r="R183" s="6"/>
    </row>
    <row r="184" spans="1:18" x14ac:dyDescent="0.25">
      <c r="A184" s="16">
        <f t="shared" si="34"/>
        <v>182</v>
      </c>
      <c r="B184" s="29" t="s">
        <v>119</v>
      </c>
      <c r="C184" s="13">
        <v>-1</v>
      </c>
      <c r="D184" s="13">
        <v>-1</v>
      </c>
      <c r="E184" s="13"/>
      <c r="F184" s="3">
        <v>0</v>
      </c>
      <c r="G184" s="3">
        <v>31</v>
      </c>
      <c r="H184" s="7">
        <v>0</v>
      </c>
      <c r="I184" s="7">
        <v>455</v>
      </c>
      <c r="J184" s="7" t="s">
        <v>138</v>
      </c>
      <c r="K184" s="7" t="s">
        <v>8</v>
      </c>
      <c r="L184" s="7" t="s">
        <v>8</v>
      </c>
      <c r="M184" s="11" t="str">
        <f t="shared" si="49"/>
        <v xml:space="preserve">"Rotor RampDown", </v>
      </c>
      <c r="N184" s="11" t="str">
        <f t="shared" si="50"/>
        <v xml:space="preserve">NULL, </v>
      </c>
      <c r="O184" s="11" t="str">
        <f t="shared" si="37"/>
        <v xml:space="preserve">NULL, </v>
      </c>
      <c r="P184" s="11" t="str">
        <f t="shared" si="48"/>
        <v xml:space="preserve">tm_pot, </v>
      </c>
      <c r="Q184" s="10" t="str">
        <f t="shared" si="39"/>
        <v xml:space="preserve">  {"Rotor RampDown", -1, -1, 455, NULL, NULL, tm_pot, 0, 31, 0},  // Idx 182</v>
      </c>
      <c r="R184" s="6"/>
    </row>
    <row r="185" spans="1:18" x14ac:dyDescent="0.25">
      <c r="A185" s="16">
        <f t="shared" si="34"/>
        <v>183</v>
      </c>
      <c r="B185" s="29" t="s">
        <v>53</v>
      </c>
      <c r="C185" s="13">
        <v>-1</v>
      </c>
      <c r="D185" s="13">
        <v>-1</v>
      </c>
      <c r="E185" s="13"/>
      <c r="F185" s="3">
        <v>0</v>
      </c>
      <c r="G185" s="3">
        <v>127</v>
      </c>
      <c r="H185" s="7">
        <v>0</v>
      </c>
      <c r="I185" s="7">
        <v>456</v>
      </c>
      <c r="J185" s="7" t="s">
        <v>138</v>
      </c>
      <c r="K185" s="7" t="s">
        <v>8</v>
      </c>
      <c r="L185" s="7" t="s">
        <v>8</v>
      </c>
      <c r="M185" s="11" t="str">
        <f t="shared" ref="M185:M204" si="51">CONCATENATE("""",B185,""", ")</f>
        <v xml:space="preserve">"Rotary Throb ", </v>
      </c>
      <c r="N185" s="11" t="str">
        <f t="shared" ref="N185:N204" si="52">IF(K185="NULL",CONCATENATE(K185,", "),CONCATENATE("&amp;",K185,", "))</f>
        <v xml:space="preserve">NULL, </v>
      </c>
      <c r="O185" s="11" t="str">
        <f t="shared" si="37"/>
        <v xml:space="preserve">NULL, </v>
      </c>
      <c r="P185" s="11" t="str">
        <f t="shared" si="48"/>
        <v xml:space="preserve">tm_pot, </v>
      </c>
      <c r="Q185" s="10" t="str">
        <f t="shared" si="39"/>
        <v xml:space="preserve">  {"Rotary Throb ", -1, -1, 456, NULL, NULL, tm_pot, 0, 127, 0},  // Idx 183</v>
      </c>
      <c r="R185" s="6"/>
    </row>
    <row r="186" spans="1:18" x14ac:dyDescent="0.25">
      <c r="A186" s="16">
        <f t="shared" si="34"/>
        <v>184</v>
      </c>
      <c r="B186" s="29" t="s">
        <v>54</v>
      </c>
      <c r="C186" s="13">
        <v>-1</v>
      </c>
      <c r="D186" s="13">
        <v>-1</v>
      </c>
      <c r="E186" s="13"/>
      <c r="F186" s="3">
        <v>0</v>
      </c>
      <c r="G186" s="3">
        <v>127</v>
      </c>
      <c r="H186" s="7">
        <v>0</v>
      </c>
      <c r="I186" s="7">
        <v>457</v>
      </c>
      <c r="J186" s="7" t="s">
        <v>138</v>
      </c>
      <c r="K186" s="7" t="s">
        <v>8</v>
      </c>
      <c r="L186" s="7" t="s">
        <v>8</v>
      </c>
      <c r="M186" s="11" t="str">
        <f t="shared" si="51"/>
        <v xml:space="preserve">"Rotary Spread", </v>
      </c>
      <c r="N186" s="11" t="str">
        <f t="shared" si="52"/>
        <v xml:space="preserve">NULL, </v>
      </c>
      <c r="O186" s="11" t="str">
        <f t="shared" si="37"/>
        <v xml:space="preserve">NULL, </v>
      </c>
      <c r="P186" s="11" t="str">
        <f t="shared" si="48"/>
        <v xml:space="preserve">tm_pot, </v>
      </c>
      <c r="Q186" s="10" t="str">
        <f t="shared" si="39"/>
        <v xml:space="preserve">  {"Rotary Spread", -1, -1, 457, NULL, NULL, tm_pot, 0, 127, 0},  // Idx 184</v>
      </c>
      <c r="R186" s="6"/>
    </row>
    <row r="187" spans="1:18" x14ac:dyDescent="0.25">
      <c r="A187" s="16">
        <f t="shared" si="34"/>
        <v>185</v>
      </c>
      <c r="B187" s="29" t="s">
        <v>158</v>
      </c>
      <c r="C187" s="13">
        <v>-1</v>
      </c>
      <c r="D187" s="13">
        <v>-1</v>
      </c>
      <c r="E187" s="13"/>
      <c r="F187" s="3">
        <v>0</v>
      </c>
      <c r="G187" s="3">
        <v>127</v>
      </c>
      <c r="H187" s="7">
        <v>0</v>
      </c>
      <c r="I187" s="7">
        <v>458</v>
      </c>
      <c r="J187" s="7" t="s">
        <v>138</v>
      </c>
      <c r="K187" s="7" t="s">
        <v>8</v>
      </c>
      <c r="L187" s="7" t="s">
        <v>8</v>
      </c>
      <c r="M187" s="11" t="str">
        <f t="shared" si="51"/>
        <v xml:space="preserve">"Rotary Balance", </v>
      </c>
      <c r="N187" s="11" t="str">
        <f t="shared" si="52"/>
        <v xml:space="preserve">NULL, </v>
      </c>
      <c r="O187" s="11" t="str">
        <f t="shared" si="37"/>
        <v xml:space="preserve">NULL, </v>
      </c>
      <c r="P187" s="11" t="str">
        <f t="shared" si="48"/>
        <v xml:space="preserve">tm_pot, </v>
      </c>
      <c r="Q187" s="10" t="str">
        <f t="shared" si="39"/>
        <v xml:space="preserve">  {"Rotary Balance", -1, -1, 458, NULL, NULL, tm_pot, 0, 127, 0},  // Idx 185</v>
      </c>
      <c r="R187" s="6"/>
    </row>
    <row r="188" spans="1:18" x14ac:dyDescent="0.25">
      <c r="A188" s="16">
        <f t="shared" si="34"/>
        <v>186</v>
      </c>
      <c r="B188" s="29" t="s">
        <v>55</v>
      </c>
      <c r="C188" s="13">
        <v>-1</v>
      </c>
      <c r="D188" s="13">
        <v>-1</v>
      </c>
      <c r="E188" s="13"/>
      <c r="F188" s="3">
        <v>0</v>
      </c>
      <c r="G188" s="3">
        <v>7</v>
      </c>
      <c r="H188" s="7">
        <v>0</v>
      </c>
      <c r="I188" s="7">
        <v>460</v>
      </c>
      <c r="J188" s="7" t="s">
        <v>24</v>
      </c>
      <c r="K188" s="7" t="s">
        <v>8</v>
      </c>
      <c r="L188" s="7" t="s">
        <v>8</v>
      </c>
      <c r="M188" s="11" t="str">
        <f t="shared" si="51"/>
        <v xml:space="preserve">"Tube Select A", </v>
      </c>
      <c r="N188" s="11" t="str">
        <f t="shared" si="52"/>
        <v xml:space="preserve">NULL, </v>
      </c>
      <c r="O188" s="11" t="str">
        <f t="shared" si="37"/>
        <v xml:space="preserve">NULL, </v>
      </c>
      <c r="P188" s="11" t="str">
        <f t="shared" si="48"/>
        <v xml:space="preserve">tm_numeric, </v>
      </c>
      <c r="Q188" s="10" t="str">
        <f t="shared" si="39"/>
        <v xml:space="preserve">  {"Tube Select A", -1, -1, 460, NULL, NULL, tm_numeric, 0, 7, 0},  // Idx 186</v>
      </c>
      <c r="R188" s="6"/>
    </row>
    <row r="189" spans="1:18" x14ac:dyDescent="0.25">
      <c r="A189" s="16">
        <f t="shared" si="34"/>
        <v>187</v>
      </c>
      <c r="B189" s="29" t="s">
        <v>56</v>
      </c>
      <c r="C189" s="13">
        <v>-1</v>
      </c>
      <c r="D189" s="13">
        <v>-1</v>
      </c>
      <c r="E189" s="13"/>
      <c r="F189" s="3">
        <v>0</v>
      </c>
      <c r="G189" s="3">
        <v>7</v>
      </c>
      <c r="H189" s="7">
        <v>0</v>
      </c>
      <c r="I189" s="7">
        <v>461</v>
      </c>
      <c r="J189" s="7" t="s">
        <v>24</v>
      </c>
      <c r="K189" s="7" t="s">
        <v>8</v>
      </c>
      <c r="L189" s="7" t="s">
        <v>8</v>
      </c>
      <c r="M189" s="11" t="str">
        <f t="shared" si="51"/>
        <v xml:space="preserve">"Tube Select B", </v>
      </c>
      <c r="N189" s="11" t="str">
        <f t="shared" si="52"/>
        <v xml:space="preserve">NULL, </v>
      </c>
      <c r="O189" s="11" t="str">
        <f t="shared" si="37"/>
        <v xml:space="preserve">NULL, </v>
      </c>
      <c r="P189" s="11" t="str">
        <f t="shared" si="48"/>
        <v xml:space="preserve">tm_numeric, </v>
      </c>
      <c r="Q189" s="10" t="str">
        <f t="shared" si="39"/>
        <v xml:space="preserve">  {"Tube Select B", -1, -1, 461, NULL, NULL, tm_numeric, 0, 7, 0},  // Idx 187</v>
      </c>
      <c r="R189" s="6"/>
    </row>
    <row r="190" spans="1:18" s="6" customFormat="1" x14ac:dyDescent="0.25">
      <c r="A190" s="16">
        <f t="shared" si="34"/>
        <v>188</v>
      </c>
      <c r="B190" s="32" t="s">
        <v>40</v>
      </c>
      <c r="C190" s="13">
        <v>-1</v>
      </c>
      <c r="D190" s="13">
        <v>-1</v>
      </c>
      <c r="E190" s="13"/>
      <c r="F190" s="7">
        <v>0</v>
      </c>
      <c r="G190" s="7">
        <v>24</v>
      </c>
      <c r="H190" s="7">
        <v>0</v>
      </c>
      <c r="I190" s="7">
        <v>355</v>
      </c>
      <c r="J190" s="7" t="s">
        <v>24</v>
      </c>
      <c r="K190" s="7" t="s">
        <v>8</v>
      </c>
      <c r="L190" s="7" t="s">
        <v>8</v>
      </c>
      <c r="M190" s="11" t="str">
        <f t="shared" si="51"/>
        <v xml:space="preserve">"Transpose", </v>
      </c>
      <c r="N190" s="11" t="str">
        <f t="shared" si="52"/>
        <v xml:space="preserve">NULL, </v>
      </c>
      <c r="O190" s="11" t="str">
        <f t="shared" si="37"/>
        <v xml:space="preserve">NULL, </v>
      </c>
      <c r="P190" s="11" t="str">
        <f t="shared" si="48"/>
        <v xml:space="preserve">tm_numeric, </v>
      </c>
      <c r="Q190" s="10" t="str">
        <f t="shared" si="39"/>
        <v xml:space="preserve">  {"Transpose", -1, -1, 355, NULL, NULL, tm_numeric, 0, 24, 0},  // Idx 188</v>
      </c>
    </row>
    <row r="191" spans="1:18" s="6" customFormat="1" x14ac:dyDescent="0.25">
      <c r="A191" s="16">
        <f t="shared" si="34"/>
        <v>189</v>
      </c>
      <c r="B191" s="32" t="s">
        <v>1</v>
      </c>
      <c r="C191" s="13">
        <v>-1</v>
      </c>
      <c r="D191" s="13">
        <v>-1</v>
      </c>
      <c r="E191" s="13"/>
      <c r="F191" s="7">
        <v>1</v>
      </c>
      <c r="G191" s="7">
        <v>30</v>
      </c>
      <c r="H191" s="7">
        <v>0</v>
      </c>
      <c r="I191" s="7">
        <v>363</v>
      </c>
      <c r="J191" s="7" t="s">
        <v>138</v>
      </c>
      <c r="K191" s="7" t="s">
        <v>8</v>
      </c>
      <c r="L191" s="7" t="s">
        <v>8</v>
      </c>
      <c r="M191" s="11" t="str">
        <f t="shared" si="51"/>
        <v xml:space="preserve">"Velocity Slope", </v>
      </c>
      <c r="N191" s="11" t="str">
        <f t="shared" si="52"/>
        <v xml:space="preserve">NULL, </v>
      </c>
      <c r="O191" s="11" t="str">
        <f t="shared" si="37"/>
        <v xml:space="preserve">NULL, </v>
      </c>
      <c r="P191" s="11" t="str">
        <f t="shared" si="48"/>
        <v xml:space="preserve">tm_pot, </v>
      </c>
      <c r="Q191" s="10" t="str">
        <f t="shared" si="39"/>
        <v xml:space="preserve">  {"Velocity Slope", -1, -1, 363, NULL, NULL, tm_pot, 1, 30, 0},  // Idx 189</v>
      </c>
    </row>
    <row r="192" spans="1:18" s="6" customFormat="1" x14ac:dyDescent="0.25">
      <c r="A192" s="16">
        <f t="shared" si="34"/>
        <v>190</v>
      </c>
      <c r="B192" s="32" t="s">
        <v>10</v>
      </c>
      <c r="C192" s="13">
        <v>-1</v>
      </c>
      <c r="D192" s="13">
        <v>-1</v>
      </c>
      <c r="E192" s="13"/>
      <c r="F192" s="7">
        <v>0</v>
      </c>
      <c r="G192" s="7">
        <v>11</v>
      </c>
      <c r="H192" s="7">
        <v>0</v>
      </c>
      <c r="I192" s="7">
        <v>368</v>
      </c>
      <c r="J192" s="7" t="s">
        <v>192</v>
      </c>
      <c r="K192" s="7" t="s">
        <v>8</v>
      </c>
      <c r="L192" s="7" t="s">
        <v>8</v>
      </c>
      <c r="M192" s="11" t="str">
        <f t="shared" si="51"/>
        <v xml:space="preserve">"MIDI Channel", </v>
      </c>
      <c r="N192" s="11" t="str">
        <f t="shared" si="52"/>
        <v xml:space="preserve">NULL, </v>
      </c>
      <c r="O192" s="11" t="str">
        <f t="shared" si="37"/>
        <v xml:space="preserve">NULL, </v>
      </c>
      <c r="P192" s="11" t="str">
        <f t="shared" si="48"/>
        <v xml:space="preserve">tm_midich, </v>
      </c>
      <c r="Q192" s="10" t="str">
        <f t="shared" si="39"/>
        <v xml:space="preserve">  {"MIDI Channel", -1, -1, 368, NULL, NULL, tm_midich, 0, 11, 0},  // Idx 190</v>
      </c>
    </row>
    <row r="193" spans="1:17" s="6" customFormat="1" x14ac:dyDescent="0.25">
      <c r="A193" s="16">
        <f t="shared" si="34"/>
        <v>191</v>
      </c>
      <c r="B193" s="32" t="s">
        <v>28</v>
      </c>
      <c r="C193" s="13">
        <v>-1</v>
      </c>
      <c r="D193" s="13">
        <v>-1</v>
      </c>
      <c r="E193" s="13"/>
      <c r="F193" s="7">
        <v>0</v>
      </c>
      <c r="G193" s="7">
        <v>10</v>
      </c>
      <c r="H193" s="7">
        <v>0</v>
      </c>
      <c r="I193" s="7">
        <v>370</v>
      </c>
      <c r="J193" s="7" t="s">
        <v>163</v>
      </c>
      <c r="K193" s="7" t="s">
        <v>8</v>
      </c>
      <c r="L193" s="7" t="s">
        <v>8</v>
      </c>
      <c r="M193" s="11" t="str">
        <f t="shared" si="51"/>
        <v xml:space="preserve">"MIDI CC Set  ", </v>
      </c>
      <c r="N193" s="11" t="str">
        <f t="shared" si="52"/>
        <v xml:space="preserve">NULL, </v>
      </c>
      <c r="O193" s="11" t="str">
        <f t="shared" si="37"/>
        <v xml:space="preserve">NULL, </v>
      </c>
      <c r="P193" s="11" t="str">
        <f t="shared" si="48"/>
        <v xml:space="preserve">tm_midicc, </v>
      </c>
      <c r="Q193" s="10" t="str">
        <f t="shared" si="39"/>
        <v xml:space="preserve">  {"MIDI CC Set  ", -1, -1, 370, NULL, NULL, tm_midicc, 0, 10, 0},  // Idx 191</v>
      </c>
    </row>
    <row r="194" spans="1:17" s="6" customFormat="1" x14ac:dyDescent="0.25">
      <c r="A194" s="16">
        <f t="shared" si="34"/>
        <v>192</v>
      </c>
      <c r="B194" s="32" t="s">
        <v>29</v>
      </c>
      <c r="C194" s="13">
        <v>-1</v>
      </c>
      <c r="D194" s="13">
        <v>-1</v>
      </c>
      <c r="E194" s="13"/>
      <c r="F194" s="7">
        <v>0</v>
      </c>
      <c r="G194" s="7">
        <v>127</v>
      </c>
      <c r="H194" s="7">
        <v>0</v>
      </c>
      <c r="I194" s="7">
        <v>371</v>
      </c>
      <c r="J194" s="7" t="s">
        <v>24</v>
      </c>
      <c r="K194" s="7" t="s">
        <v>8</v>
      </c>
      <c r="L194" s="7" t="s">
        <v>8</v>
      </c>
      <c r="M194" s="11" t="str">
        <f t="shared" si="51"/>
        <v xml:space="preserve">"MIDI Swell CC", </v>
      </c>
      <c r="N194" s="11" t="str">
        <f t="shared" si="52"/>
        <v xml:space="preserve">NULL, </v>
      </c>
      <c r="O194" s="11" t="str">
        <f t="shared" si="37"/>
        <v xml:space="preserve">NULL, </v>
      </c>
      <c r="P194" s="11" t="str">
        <f t="shared" si="48"/>
        <v xml:space="preserve">tm_numeric, </v>
      </c>
      <c r="Q194" s="10" t="str">
        <f t="shared" si="39"/>
        <v xml:space="preserve">  {"MIDI Swell CC", -1, -1, 371, NULL, NULL, tm_numeric, 0, 127, 0},  // Idx 192</v>
      </c>
    </row>
    <row r="195" spans="1:17" s="6" customFormat="1" x14ac:dyDescent="0.25">
      <c r="A195" s="16">
        <f t="shared" si="34"/>
        <v>193</v>
      </c>
      <c r="B195" s="32" t="s">
        <v>30</v>
      </c>
      <c r="C195" s="13">
        <v>-1</v>
      </c>
      <c r="D195" s="13">
        <v>-1</v>
      </c>
      <c r="E195" s="13"/>
      <c r="F195" s="7">
        <v>0</v>
      </c>
      <c r="G195" s="7">
        <v>127</v>
      </c>
      <c r="H195" s="7">
        <v>0</v>
      </c>
      <c r="I195" s="7">
        <v>372</v>
      </c>
      <c r="J195" s="7" t="s">
        <v>24</v>
      </c>
      <c r="K195" s="7" t="s">
        <v>8</v>
      </c>
      <c r="L195" s="7" t="s">
        <v>8</v>
      </c>
      <c r="M195" s="11" t="str">
        <f t="shared" si="51"/>
        <v xml:space="preserve">"MIDI VolumeCC", </v>
      </c>
      <c r="N195" s="11" t="str">
        <f t="shared" si="52"/>
        <v xml:space="preserve">NULL, </v>
      </c>
      <c r="O195" s="11" t="str">
        <f t="shared" ref="O195:O212" si="53">IF(L195="NULL",CONCATENATE(L195,", "),CONCATENATE("&amp;",L195,", "))</f>
        <v xml:space="preserve">NULL, </v>
      </c>
      <c r="P195" s="11" t="str">
        <f t="shared" si="48"/>
        <v xml:space="preserve">tm_numeric, </v>
      </c>
      <c r="Q195" s="10" t="str">
        <f t="shared" ref="Q195:Q212" si="54">CONCATENATE("  {",M195,C195,", ",D195,", ",I195,", ",N195,O195,P195,F195,", ",G195,", ",H195,"},  // Idx ", A195)</f>
        <v xml:space="preserve">  {"MIDI VolumeCC", -1, -1, 372, NULL, NULL, tm_numeric, 0, 127, 0},  // Idx 193</v>
      </c>
    </row>
    <row r="196" spans="1:17" s="6" customFormat="1" x14ac:dyDescent="0.25">
      <c r="A196" s="16">
        <f t="shared" si="34"/>
        <v>194</v>
      </c>
      <c r="B196" s="32" t="s">
        <v>31</v>
      </c>
      <c r="C196" s="13">
        <v>-1</v>
      </c>
      <c r="D196" s="13">
        <v>-1</v>
      </c>
      <c r="E196" s="13"/>
      <c r="F196" s="7">
        <v>0</v>
      </c>
      <c r="G196" s="7">
        <v>127</v>
      </c>
      <c r="H196" s="7">
        <v>0</v>
      </c>
      <c r="I196" s="7">
        <v>374</v>
      </c>
      <c r="J196" s="7" t="s">
        <v>24</v>
      </c>
      <c r="K196" s="7" t="s">
        <v>8</v>
      </c>
      <c r="L196" s="7" t="s">
        <v>8</v>
      </c>
      <c r="M196" s="11" t="str">
        <f t="shared" si="51"/>
        <v xml:space="preserve">"MIDI PresetCC", </v>
      </c>
      <c r="N196" s="11" t="str">
        <f t="shared" si="52"/>
        <v xml:space="preserve">NULL, </v>
      </c>
      <c r="O196" s="11" t="str">
        <f t="shared" si="53"/>
        <v xml:space="preserve">NULL, </v>
      </c>
      <c r="P196" s="11" t="str">
        <f t="shared" si="48"/>
        <v xml:space="preserve">tm_numeric, </v>
      </c>
      <c r="Q196" s="10" t="str">
        <f t="shared" si="54"/>
        <v xml:space="preserve">  {"MIDI PresetCC", -1, -1, 374, NULL, NULL, tm_numeric, 0, 127, 0},  // Idx 194</v>
      </c>
    </row>
    <row r="197" spans="1:17" s="6" customFormat="1" x14ac:dyDescent="0.25">
      <c r="A197" s="16">
        <f t="shared" si="34"/>
        <v>195</v>
      </c>
      <c r="B197" s="32" t="s">
        <v>32</v>
      </c>
      <c r="C197" s="13">
        <v>-1</v>
      </c>
      <c r="D197" s="13">
        <v>-1</v>
      </c>
      <c r="E197" s="13"/>
      <c r="F197" s="7">
        <v>0</v>
      </c>
      <c r="G197" s="7">
        <v>127</v>
      </c>
      <c r="H197" s="7">
        <v>0</v>
      </c>
      <c r="I197" s="7">
        <v>373</v>
      </c>
      <c r="J197" s="7" t="s">
        <v>24</v>
      </c>
      <c r="K197" s="7" t="s">
        <v>8</v>
      </c>
      <c r="L197" s="7" t="s">
        <v>8</v>
      </c>
      <c r="M197" s="11" t="str">
        <f t="shared" si="51"/>
        <v xml:space="preserve">"MIDI Send    ", </v>
      </c>
      <c r="N197" s="11" t="str">
        <f t="shared" si="52"/>
        <v xml:space="preserve">NULL, </v>
      </c>
      <c r="O197" s="11" t="str">
        <f t="shared" si="53"/>
        <v xml:space="preserve">NULL, </v>
      </c>
      <c r="P197" s="11" t="str">
        <f t="shared" si="48"/>
        <v xml:space="preserve">tm_numeric, </v>
      </c>
      <c r="Q197" s="10" t="str">
        <f t="shared" si="54"/>
        <v xml:space="preserve">  {"MIDI Send    ", -1, -1, 373, NULL, NULL, tm_numeric, 0, 127, 0},  // Idx 195</v>
      </c>
    </row>
    <row r="198" spans="1:17" s="6" customFormat="1" x14ac:dyDescent="0.25">
      <c r="A198" s="16">
        <f t="shared" si="34"/>
        <v>196</v>
      </c>
      <c r="B198" s="32" t="s">
        <v>33</v>
      </c>
      <c r="C198" s="13">
        <v>-1</v>
      </c>
      <c r="D198" s="13">
        <v>-1</v>
      </c>
      <c r="E198" s="13"/>
      <c r="F198" s="7">
        <v>0</v>
      </c>
      <c r="G198" s="7">
        <v>127</v>
      </c>
      <c r="H198" s="7">
        <v>0</v>
      </c>
      <c r="I198" s="7">
        <v>143</v>
      </c>
      <c r="J198" s="7" t="s">
        <v>24</v>
      </c>
      <c r="K198" s="7" t="s">
        <v>8</v>
      </c>
      <c r="L198" s="7" t="s">
        <v>8</v>
      </c>
      <c r="M198" s="11" t="str">
        <f t="shared" si="51"/>
        <v xml:space="preserve">"Split Keyb   ", </v>
      </c>
      <c r="N198" s="11" t="str">
        <f t="shared" si="52"/>
        <v xml:space="preserve">NULL, </v>
      </c>
      <c r="O198" s="11" t="str">
        <f t="shared" si="53"/>
        <v xml:space="preserve">NULL, </v>
      </c>
      <c r="P198" s="11" t="str">
        <f t="shared" si="48"/>
        <v xml:space="preserve">tm_numeric, </v>
      </c>
      <c r="Q198" s="10" t="str">
        <f t="shared" si="54"/>
        <v xml:space="preserve">  {"Split Keyb   ", -1, -1, 143, NULL, NULL, tm_numeric, 0, 127, 0},  // Idx 196</v>
      </c>
    </row>
    <row r="199" spans="1:17" s="6" customFormat="1" x14ac:dyDescent="0.25">
      <c r="A199" s="16">
        <f t="shared" si="34"/>
        <v>197</v>
      </c>
      <c r="B199" s="32" t="s">
        <v>34</v>
      </c>
      <c r="C199" s="13">
        <v>-1</v>
      </c>
      <c r="D199" s="13">
        <v>-1</v>
      </c>
      <c r="E199" s="13"/>
      <c r="F199" s="7">
        <v>0</v>
      </c>
      <c r="G199" s="7">
        <v>127</v>
      </c>
      <c r="H199" s="7">
        <v>0</v>
      </c>
      <c r="I199" s="7">
        <v>353</v>
      </c>
      <c r="J199" s="7" t="s">
        <v>24</v>
      </c>
      <c r="K199" s="7" t="s">
        <v>8</v>
      </c>
      <c r="L199" s="7" t="s">
        <v>8</v>
      </c>
      <c r="M199" s="11" t="str">
        <f t="shared" si="51"/>
        <v xml:space="preserve">"Split Point  ", </v>
      </c>
      <c r="N199" s="11" t="str">
        <f t="shared" si="52"/>
        <v xml:space="preserve">NULL, </v>
      </c>
      <c r="O199" s="11" t="str">
        <f t="shared" si="53"/>
        <v xml:space="preserve">NULL, </v>
      </c>
      <c r="P199" s="11" t="str">
        <f t="shared" si="48"/>
        <v xml:space="preserve">tm_numeric, </v>
      </c>
      <c r="Q199" s="10" t="str">
        <f t="shared" si="54"/>
        <v xml:space="preserve">  {"Split Point  ", -1, -1, 353, NULL, NULL, tm_numeric, 0, 127, 0},  // Idx 197</v>
      </c>
    </row>
    <row r="200" spans="1:17" s="6" customFormat="1" x14ac:dyDescent="0.25">
      <c r="A200" s="16">
        <f t="shared" si="34"/>
        <v>198</v>
      </c>
      <c r="B200" s="32" t="s">
        <v>35</v>
      </c>
      <c r="C200" s="13">
        <v>-1</v>
      </c>
      <c r="D200" s="13">
        <v>-1</v>
      </c>
      <c r="E200" s="13"/>
      <c r="F200" s="7">
        <v>0</v>
      </c>
      <c r="G200" s="7">
        <v>5</v>
      </c>
      <c r="H200" s="7">
        <v>0</v>
      </c>
      <c r="I200" s="7">
        <v>354</v>
      </c>
      <c r="J200" s="7" t="s">
        <v>24</v>
      </c>
      <c r="K200" s="7" t="s">
        <v>8</v>
      </c>
      <c r="L200" s="7" t="s">
        <v>8</v>
      </c>
      <c r="M200" s="11" t="str">
        <f t="shared" si="51"/>
        <v xml:space="preserve">"Split Mode   ", </v>
      </c>
      <c r="N200" s="11" t="str">
        <f t="shared" si="52"/>
        <v xml:space="preserve">NULL, </v>
      </c>
      <c r="O200" s="11" t="str">
        <f t="shared" si="53"/>
        <v xml:space="preserve">NULL, </v>
      </c>
      <c r="P200" s="11" t="str">
        <f t="shared" si="48"/>
        <v xml:space="preserve">tm_numeric, </v>
      </c>
      <c r="Q200" s="10" t="str">
        <f t="shared" si="54"/>
        <v xml:space="preserve">  {"Split Mode   ", -1, -1, 354, NULL, NULL, tm_numeric, 0, 5, 0},  // Idx 198</v>
      </c>
    </row>
    <row r="201" spans="1:17" s="6" customFormat="1" x14ac:dyDescent="0.25">
      <c r="A201" s="16">
        <f t="shared" si="34"/>
        <v>199</v>
      </c>
      <c r="B201" s="32" t="s">
        <v>36</v>
      </c>
      <c r="C201" s="13">
        <v>-1</v>
      </c>
      <c r="D201" s="13">
        <v>-1</v>
      </c>
      <c r="E201" s="13"/>
      <c r="F201" s="7">
        <v>0</v>
      </c>
      <c r="G201" s="7">
        <v>127</v>
      </c>
      <c r="H201" s="7">
        <v>0</v>
      </c>
      <c r="I201" s="7">
        <v>376</v>
      </c>
      <c r="J201" s="7" t="s">
        <v>24</v>
      </c>
      <c r="K201" s="7" t="s">
        <v>8</v>
      </c>
      <c r="L201" s="7" t="s">
        <v>8</v>
      </c>
      <c r="M201" s="11" t="str">
        <f t="shared" si="51"/>
        <v xml:space="preserve">"No ProgChgRcv", </v>
      </c>
      <c r="N201" s="11" t="str">
        <f t="shared" si="52"/>
        <v xml:space="preserve">NULL, </v>
      </c>
      <c r="O201" s="11" t="str">
        <f t="shared" si="53"/>
        <v xml:space="preserve">NULL, </v>
      </c>
      <c r="P201" s="11" t="str">
        <f t="shared" si="48"/>
        <v xml:space="preserve">tm_numeric, </v>
      </c>
      <c r="Q201" s="10" t="str">
        <f t="shared" si="54"/>
        <v xml:space="preserve">  {"No ProgChgRcv", -1, -1, 376, NULL, NULL, tm_numeric, 0, 127, 0},  // Idx 199</v>
      </c>
    </row>
    <row r="202" spans="1:17" x14ac:dyDescent="0.25">
      <c r="A202" s="16">
        <f t="shared" ref="A202:A212" si="55">A201+1</f>
        <v>200</v>
      </c>
      <c r="B202" s="43" t="s">
        <v>188</v>
      </c>
      <c r="C202" s="13">
        <v>-1</v>
      </c>
      <c r="D202" s="13">
        <v>-1</v>
      </c>
      <c r="E202" s="13"/>
      <c r="F202" s="7">
        <v>0</v>
      </c>
      <c r="G202" s="7">
        <v>1</v>
      </c>
      <c r="H202" s="7">
        <v>0</v>
      </c>
      <c r="I202" s="18">
        <v>-1</v>
      </c>
      <c r="J202" s="7" t="s">
        <v>41</v>
      </c>
      <c r="K202" s="7" t="s">
        <v>170</v>
      </c>
      <c r="L202" s="7" t="s">
        <v>8</v>
      </c>
      <c r="M202" s="11" t="str">
        <f t="shared" si="51"/>
        <v xml:space="preserve">"Preset Name", </v>
      </c>
      <c r="N202" s="11" t="str">
        <f t="shared" si="52"/>
        <v xml:space="preserve">&amp;enterPresetName, </v>
      </c>
      <c r="O202" s="11" t="str">
        <f t="shared" si="53"/>
        <v xml:space="preserve">NULL, </v>
      </c>
      <c r="P202" s="11" t="str">
        <f t="shared" si="48"/>
        <v xml:space="preserve">tm_button, </v>
      </c>
      <c r="Q202" s="10" t="str">
        <f t="shared" si="54"/>
        <v xml:space="preserve">  {"Preset Name", -1, -1, -1, &amp;enterPresetName, NULL, tm_button, 0, 1, 0},  // Idx 200</v>
      </c>
    </row>
    <row r="203" spans="1:17" x14ac:dyDescent="0.25">
      <c r="A203" s="16">
        <f t="shared" si="55"/>
        <v>201</v>
      </c>
      <c r="B203" s="43" t="s">
        <v>187</v>
      </c>
      <c r="C203" s="13">
        <v>-1</v>
      </c>
      <c r="D203" s="13">
        <v>-1</v>
      </c>
      <c r="E203" s="13"/>
      <c r="F203" s="7">
        <v>0</v>
      </c>
      <c r="G203" s="7">
        <v>1</v>
      </c>
      <c r="H203" s="7">
        <v>0</v>
      </c>
      <c r="I203" s="18">
        <v>-1</v>
      </c>
      <c r="J203" s="7" t="s">
        <v>41</v>
      </c>
      <c r="K203" s="7" t="s">
        <v>8</v>
      </c>
      <c r="L203" s="7" t="s">
        <v>8</v>
      </c>
      <c r="M203" s="11" t="str">
        <f t="shared" si="51"/>
        <v xml:space="preserve">"Preset Init", </v>
      </c>
      <c r="N203" s="11" t="str">
        <f t="shared" si="52"/>
        <v xml:space="preserve">NULL, </v>
      </c>
      <c r="O203" s="11" t="str">
        <f t="shared" si="53"/>
        <v xml:space="preserve">NULL, </v>
      </c>
      <c r="P203" s="11" t="str">
        <f t="shared" si="48"/>
        <v xml:space="preserve">tm_button, </v>
      </c>
      <c r="Q203" s="10" t="str">
        <f t="shared" si="54"/>
        <v xml:space="preserve">  {"Preset Init", -1, -1, -1, NULL, NULL, tm_button, 0, 1, 0},  // Idx 201</v>
      </c>
    </row>
    <row r="204" spans="1:17" x14ac:dyDescent="0.25">
      <c r="A204" s="16">
        <f t="shared" si="55"/>
        <v>202</v>
      </c>
      <c r="B204" s="44" t="s">
        <v>194</v>
      </c>
      <c r="C204" s="13">
        <v>-1</v>
      </c>
      <c r="D204" s="13">
        <v>-1</v>
      </c>
      <c r="E204" s="13"/>
      <c r="F204" s="7">
        <v>0</v>
      </c>
      <c r="G204" s="7">
        <v>15</v>
      </c>
      <c r="H204" s="7">
        <v>0</v>
      </c>
      <c r="I204" s="7">
        <v>495</v>
      </c>
      <c r="J204" s="7" t="s">
        <v>138</v>
      </c>
      <c r="K204" s="7" t="s">
        <v>8</v>
      </c>
      <c r="L204" s="7" t="s">
        <v>8</v>
      </c>
      <c r="M204" s="11" t="str">
        <f t="shared" si="51"/>
        <v xml:space="preserve">"LED Dimmer", </v>
      </c>
      <c r="N204" s="11" t="str">
        <f t="shared" si="52"/>
        <v xml:space="preserve">NULL, </v>
      </c>
      <c r="O204" s="11" t="str">
        <f t="shared" si="53"/>
        <v xml:space="preserve">NULL, </v>
      </c>
      <c r="P204" s="11" t="str">
        <f t="shared" si="48"/>
        <v xml:space="preserve">tm_pot, </v>
      </c>
      <c r="Q204" s="10" t="str">
        <f t="shared" si="54"/>
        <v xml:space="preserve">  {"LED Dimmer", -1, -1, 495, NULL, NULL, tm_pot, 0, 15, 0},  // Idx 202</v>
      </c>
    </row>
    <row r="205" spans="1:17" x14ac:dyDescent="0.25">
      <c r="A205" s="16">
        <f t="shared" si="55"/>
        <v>203</v>
      </c>
      <c r="B205" s="44" t="s">
        <v>195</v>
      </c>
      <c r="C205" s="13">
        <v>-1</v>
      </c>
      <c r="D205" s="13">
        <v>-1</v>
      </c>
      <c r="E205" s="13"/>
      <c r="F205" s="7">
        <v>0</v>
      </c>
      <c r="G205" s="7">
        <v>2</v>
      </c>
      <c r="H205" s="7">
        <v>0</v>
      </c>
      <c r="I205" s="18">
        <v>499</v>
      </c>
      <c r="J205" s="7" t="s">
        <v>24</v>
      </c>
      <c r="K205" s="7" t="s">
        <v>193</v>
      </c>
      <c r="L205" s="7" t="s">
        <v>8</v>
      </c>
      <c r="M205" s="11" t="str">
        <f t="shared" ref="M205" si="56">CONCATENATE("""",B205,""", ")</f>
        <v xml:space="preserve">"Screen Saver", </v>
      </c>
      <c r="N205" s="11" t="str">
        <f t="shared" ref="N205" si="57">IF(K205="NULL",CONCATENATE(K205,", "),CONCATENATE("&amp;",K205,", "))</f>
        <v xml:space="preserve">&amp;enterScreenSaver, </v>
      </c>
      <c r="O205" s="11" t="str">
        <f t="shared" si="53"/>
        <v xml:space="preserve">NULL, </v>
      </c>
      <c r="P205" s="11" t="str">
        <f t="shared" ref="P205" si="58">IF(J205="NULL",CONCATENATE(J205,", "),CONCATENATE("tm_",J205,", "))</f>
        <v xml:space="preserve">tm_numeric, </v>
      </c>
      <c r="Q205" s="10" t="str">
        <f t="shared" si="54"/>
        <v xml:space="preserve">  {"Screen Saver", -1, -1, 499, &amp;enterScreenSaver, NULL, tm_numeric, 0, 2, 0},  // Idx 203</v>
      </c>
    </row>
    <row r="206" spans="1:17" s="2" customFormat="1" x14ac:dyDescent="0.25">
      <c r="A206" s="16">
        <f t="shared" si="55"/>
        <v>204</v>
      </c>
      <c r="B206" s="44" t="s">
        <v>159</v>
      </c>
      <c r="C206" s="13">
        <v>-1</v>
      </c>
      <c r="D206" s="13">
        <v>-1</v>
      </c>
      <c r="E206" s="13"/>
      <c r="F206" s="3">
        <v>0</v>
      </c>
      <c r="G206" s="7">
        <v>2</v>
      </c>
      <c r="H206" s="7">
        <v>0</v>
      </c>
      <c r="I206" s="18">
        <v>496</v>
      </c>
      <c r="J206" s="7" t="s">
        <v>160</v>
      </c>
      <c r="K206" s="7" t="s">
        <v>8</v>
      </c>
      <c r="L206" s="7" t="s">
        <v>161</v>
      </c>
      <c r="M206" s="11" t="str">
        <f t="shared" ref="M206:M212" si="59">CONCATENATE("""",B206,""", ")</f>
        <v xml:space="preserve">"WiFi Mode", </v>
      </c>
      <c r="N206" s="11" t="str">
        <f>IF(K206="NULL",CONCATENATE(K206,", "),CONCATENATE("&amp;",K206,", "))</f>
        <v xml:space="preserve">NULL, </v>
      </c>
      <c r="O206" s="11" t="str">
        <f t="shared" si="53"/>
        <v xml:space="preserve">&amp;saveWifi, </v>
      </c>
      <c r="P206" s="11" t="str">
        <f>IF(J206="NULL",CONCATENATE(J206,", "),CONCATENATE("tm_",J206,", "))</f>
        <v xml:space="preserve">tm_wifimode, </v>
      </c>
      <c r="Q206" s="10" t="str">
        <f t="shared" si="54"/>
        <v xml:space="preserve">  {"WiFi Mode", -1, -1, 496, NULL, &amp;saveWifi, tm_wifimode, 0, 2, 0},  // Idx 204</v>
      </c>
    </row>
    <row r="207" spans="1:17" s="2" customFormat="1" x14ac:dyDescent="0.25">
      <c r="A207" s="16">
        <f t="shared" si="55"/>
        <v>205</v>
      </c>
      <c r="B207" s="44" t="s">
        <v>201</v>
      </c>
      <c r="C207" s="13">
        <v>-1</v>
      </c>
      <c r="D207" s="13">
        <v>-1</v>
      </c>
      <c r="E207" s="13"/>
      <c r="F207" s="7">
        <v>-1</v>
      </c>
      <c r="G207" s="18">
        <v>-1</v>
      </c>
      <c r="H207" s="7">
        <v>0</v>
      </c>
      <c r="I207" s="18">
        <v>-1</v>
      </c>
      <c r="J207" s="7" t="s">
        <v>41</v>
      </c>
      <c r="K207" s="7" t="s">
        <v>205</v>
      </c>
      <c r="L207" s="7" t="s">
        <v>8</v>
      </c>
      <c r="M207" s="11" t="str">
        <f t="shared" si="59"/>
        <v xml:space="preserve">"Board Info", </v>
      </c>
      <c r="N207" s="11" t="str">
        <f t="shared" ref="N207:N210" si="60">IF(K207="NULL",CONCATENATE(K207,", "),CONCATENATE("&amp;",K207,", "))</f>
        <v xml:space="preserve">&amp;requestBoardInfo, </v>
      </c>
      <c r="O207" s="11" t="str">
        <f t="shared" si="53"/>
        <v xml:space="preserve">NULL, </v>
      </c>
      <c r="P207" s="11" t="str">
        <f t="shared" ref="P207:P208" si="61">IF(J207="NULL",CONCATENATE(J207,", "),CONCATENATE("tm_",J207,", "))</f>
        <v xml:space="preserve">tm_button, </v>
      </c>
      <c r="Q207" s="10" t="str">
        <f t="shared" si="54"/>
        <v xml:space="preserve">  {"Board Info", -1, -1, -1, &amp;requestBoardInfo, NULL, tm_button, -1, -1, 0},  // Idx 205</v>
      </c>
    </row>
    <row r="208" spans="1:17" s="2" customFormat="1" x14ac:dyDescent="0.25">
      <c r="A208" s="16">
        <f t="shared" si="55"/>
        <v>206</v>
      </c>
      <c r="B208" s="45" t="s">
        <v>206</v>
      </c>
      <c r="C208" s="13">
        <v>-1</v>
      </c>
      <c r="D208" s="13">
        <v>-1</v>
      </c>
      <c r="E208" s="13"/>
      <c r="F208" s="7">
        <v>-1</v>
      </c>
      <c r="G208" s="18">
        <v>-1</v>
      </c>
      <c r="H208" s="7">
        <v>0</v>
      </c>
      <c r="I208" s="18">
        <v>-1</v>
      </c>
      <c r="J208" s="7" t="s">
        <v>41</v>
      </c>
      <c r="K208" s="7" t="s">
        <v>8</v>
      </c>
      <c r="L208" s="7" t="s">
        <v>197</v>
      </c>
      <c r="M208" s="11" t="str">
        <f t="shared" si="59"/>
        <v xml:space="preserve">"Start USB DFU", </v>
      </c>
      <c r="N208" s="11" t="str">
        <f t="shared" si="60"/>
        <v xml:space="preserve">NULL, </v>
      </c>
      <c r="O208" s="11" t="str">
        <f t="shared" si="53"/>
        <v xml:space="preserve">&amp;bootloaderCmd, </v>
      </c>
      <c r="P208" s="11" t="str">
        <f t="shared" si="61"/>
        <v xml:space="preserve">tm_button, </v>
      </c>
      <c r="Q208" s="10" t="str">
        <f t="shared" si="54"/>
        <v xml:space="preserve">  {"Start USB DFU", -1, -1, -1, NULL, &amp;bootloaderCmd, tm_button, -1, -1, 0},  // Idx 206</v>
      </c>
    </row>
    <row r="209" spans="1:17" s="2" customFormat="1" x14ac:dyDescent="0.25">
      <c r="A209" s="16">
        <f t="shared" si="55"/>
        <v>207</v>
      </c>
      <c r="B209" s="45" t="s">
        <v>198</v>
      </c>
      <c r="C209" s="13">
        <v>-1</v>
      </c>
      <c r="D209" s="13">
        <v>-1</v>
      </c>
      <c r="E209" s="13"/>
      <c r="F209" s="7">
        <v>-1</v>
      </c>
      <c r="G209" s="18">
        <v>-1</v>
      </c>
      <c r="H209" s="7">
        <v>0</v>
      </c>
      <c r="I209" s="18">
        <v>-1</v>
      </c>
      <c r="J209" s="7" t="s">
        <v>41</v>
      </c>
      <c r="K209" s="7" t="s">
        <v>8</v>
      </c>
      <c r="L209" s="7" t="s">
        <v>197</v>
      </c>
      <c r="M209" s="11" t="str">
        <f t="shared" si="59"/>
        <v xml:space="preserve">"Failsafe FW", </v>
      </c>
      <c r="N209" s="11" t="str">
        <f t="shared" si="60"/>
        <v xml:space="preserve">NULL, </v>
      </c>
      <c r="O209" s="11" t="str">
        <f t="shared" si="53"/>
        <v xml:space="preserve">&amp;bootloaderCmd, </v>
      </c>
      <c r="P209" s="11" t="str">
        <f>IF(J209="NULL",CONCATENATE(J209,", "),CONCATENATE("tm_",J209,", "))</f>
        <v xml:space="preserve">tm_button, </v>
      </c>
      <c r="Q209" s="10" t="str">
        <f t="shared" si="54"/>
        <v xml:space="preserve">  {"Failsafe FW", -1, -1, -1, NULL, &amp;bootloaderCmd, tm_button, -1, -1, 0},  // Idx 207</v>
      </c>
    </row>
    <row r="210" spans="1:17" s="2" customFormat="1" x14ac:dyDescent="0.25">
      <c r="A210" s="16">
        <f t="shared" si="55"/>
        <v>208</v>
      </c>
      <c r="B210" s="45" t="s">
        <v>199</v>
      </c>
      <c r="C210" s="13">
        <v>-1</v>
      </c>
      <c r="D210" s="13">
        <v>-1</v>
      </c>
      <c r="E210" s="13"/>
      <c r="F210" s="7">
        <v>-1</v>
      </c>
      <c r="G210" s="18">
        <v>-1</v>
      </c>
      <c r="H210" s="7">
        <v>0</v>
      </c>
      <c r="I210" s="18">
        <v>-1</v>
      </c>
      <c r="J210" s="7" t="s">
        <v>41</v>
      </c>
      <c r="K210" s="7" t="s">
        <v>8</v>
      </c>
      <c r="L210" s="7" t="s">
        <v>197</v>
      </c>
      <c r="M210" s="11" t="str">
        <f t="shared" si="59"/>
        <v xml:space="preserve">"Failsafe FPGA", </v>
      </c>
      <c r="N210" s="11" t="str">
        <f t="shared" si="60"/>
        <v xml:space="preserve">NULL, </v>
      </c>
      <c r="O210" s="11" t="str">
        <f t="shared" si="53"/>
        <v xml:space="preserve">&amp;bootloaderCmd, </v>
      </c>
      <c r="P210" s="11" t="str">
        <f>IF(J210="NULL",CONCATENATE(J210,", "),CONCATENATE("tm_",J210,", "))</f>
        <v xml:space="preserve">tm_button, </v>
      </c>
      <c r="Q210" s="10" t="str">
        <f t="shared" si="54"/>
        <v xml:space="preserve">  {"Failsafe FPGA", -1, -1, -1, NULL, &amp;bootloaderCmd, tm_button, -1, -1, 0},  // Idx 208</v>
      </c>
    </row>
    <row r="211" spans="1:17" s="2" customFormat="1" x14ac:dyDescent="0.25">
      <c r="A211" s="16">
        <f t="shared" si="55"/>
        <v>209</v>
      </c>
      <c r="B211" s="45" t="s">
        <v>196</v>
      </c>
      <c r="C211" s="13">
        <v>-1</v>
      </c>
      <c r="D211" s="13">
        <v>-1</v>
      </c>
      <c r="E211" s="13"/>
      <c r="F211" s="7">
        <v>-1</v>
      </c>
      <c r="G211" s="18">
        <v>-1</v>
      </c>
      <c r="H211" s="7">
        <v>0</v>
      </c>
      <c r="I211" s="18">
        <v>-1</v>
      </c>
      <c r="J211" s="7" t="s">
        <v>41</v>
      </c>
      <c r="K211" s="7" t="s">
        <v>8</v>
      </c>
      <c r="L211" s="7" t="s">
        <v>197</v>
      </c>
      <c r="M211" s="11" t="str">
        <f t="shared" si="59"/>
        <v xml:space="preserve">"SD Card Update", </v>
      </c>
      <c r="N211" s="11" t="str">
        <f>IF(K211="NULL",CONCATENATE(K211,", "),CONCATENATE("&amp;",K211,", "))</f>
        <v xml:space="preserve">NULL, </v>
      </c>
      <c r="O211" s="11" t="str">
        <f t="shared" si="53"/>
        <v xml:space="preserve">&amp;bootloaderCmd, </v>
      </c>
      <c r="P211" s="11" t="str">
        <f>IF(J211="NULL",CONCATENATE(J211,", "),CONCATENATE("tm_",J211,", "))</f>
        <v xml:space="preserve">tm_button, </v>
      </c>
      <c r="Q211" s="10" t="str">
        <f t="shared" si="54"/>
        <v xml:space="preserve">  {"SD Card Update", -1, -1, -1, NULL, &amp;bootloaderCmd, tm_button, -1, -1, 0},  // Idx 209</v>
      </c>
    </row>
    <row r="212" spans="1:17" s="2" customFormat="1" x14ac:dyDescent="0.25">
      <c r="A212" s="16">
        <f t="shared" si="55"/>
        <v>210</v>
      </c>
      <c r="B212" s="45" t="s">
        <v>200</v>
      </c>
      <c r="C212" s="13">
        <v>-1</v>
      </c>
      <c r="D212" s="13">
        <v>-1</v>
      </c>
      <c r="E212" s="13"/>
      <c r="F212" s="7">
        <v>-1</v>
      </c>
      <c r="G212" s="18">
        <v>-1</v>
      </c>
      <c r="H212" s="7">
        <v>0</v>
      </c>
      <c r="I212" s="18">
        <v>-1</v>
      </c>
      <c r="J212" s="7" t="s">
        <v>41</v>
      </c>
      <c r="K212" s="7" t="s">
        <v>8</v>
      </c>
      <c r="L212" s="7" t="s">
        <v>197</v>
      </c>
      <c r="M212" s="11" t="str">
        <f t="shared" si="59"/>
        <v xml:space="preserve">"Exit Bootload", </v>
      </c>
      <c r="N212" s="11" t="str">
        <f>IF(K212="NULL",CONCATENATE(K212,", "),CONCATENATE("&amp;",K212,", "))</f>
        <v xml:space="preserve">NULL, </v>
      </c>
      <c r="O212" s="11" t="str">
        <f t="shared" si="53"/>
        <v xml:space="preserve">&amp;bootloaderCmd, </v>
      </c>
      <c r="P212" s="11" t="str">
        <f>IF(J212="NULL",CONCATENATE(J212,", "),CONCATENATE("tm_",J212,", "))</f>
        <v xml:space="preserve">tm_button, </v>
      </c>
      <c r="Q212" s="10" t="str">
        <f t="shared" si="54"/>
        <v xml:space="preserve">  {"Exit Bootload", -1, -1, -1, NULL, &amp;bootloaderCmd, tm_button, -1, -1, 0},  // Idx 210</v>
      </c>
    </row>
    <row r="213" spans="1:17" s="2" customFormat="1" x14ac:dyDescent="0.25">
      <c r="A213" s="19">
        <f>A212+1</f>
        <v>211</v>
      </c>
      <c r="C213" s="13"/>
      <c r="D213" s="13"/>
      <c r="E213" s="13"/>
      <c r="G213" s="4"/>
      <c r="H213" s="7"/>
      <c r="I213" s="18"/>
      <c r="J213" s="7"/>
      <c r="K213" s="7"/>
      <c r="L213" s="7"/>
      <c r="M213" s="7"/>
      <c r="N213" s="7"/>
      <c r="O213" s="7"/>
      <c r="P213" s="7"/>
      <c r="Q213" s="10" t="s">
        <v>2</v>
      </c>
    </row>
    <row r="214" spans="1:17" x14ac:dyDescent="0.25">
      <c r="A214" s="3"/>
      <c r="C214" s="17"/>
      <c r="D214" s="17"/>
      <c r="E214" s="17"/>
      <c r="F214" s="19"/>
      <c r="G214" s="19"/>
      <c r="H214" s="19"/>
      <c r="I214" s="19"/>
      <c r="Q214" s="10" t="str">
        <f>CONCATENATE("#define MAIN_MENU_END ",A21)</f>
        <v>#define MAIN_MENU_END 19</v>
      </c>
    </row>
    <row r="215" spans="1:17" x14ac:dyDescent="0.25">
      <c r="Q215" s="10" t="str">
        <f>CONCATENATE("#define BOOTLOAD_MENU_START ",A208)</f>
        <v>#define BOOTLOAD_MENU_START 206</v>
      </c>
    </row>
    <row r="216" spans="1:17" x14ac:dyDescent="0.25">
      <c r="Q216" s="10" t="str">
        <f>CONCATENATE("#define BOOTLOAD_EXIT ",A212)</f>
        <v>#define BOOTLOAD_EXIT 210</v>
      </c>
    </row>
    <row r="217" spans="1:17" x14ac:dyDescent="0.25">
      <c r="Q217" s="10" t="str">
        <f>CONCATENATE("#define MENU_ITEMCOUNT ",A213)</f>
        <v>#define MENU_ITEMCOUNT 211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HX3 WIFI Controller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Carsten Meyer</dc:creator>
  <cp:lastModifiedBy>Carsten</cp:lastModifiedBy>
  <dcterms:created xsi:type="dcterms:W3CDTF">2026-02-08T08:40:39Z</dcterms:created>
  <dcterms:modified xsi:type="dcterms:W3CDTF">2026-05-27T07:21:37Z</dcterms:modified>
</cp:coreProperties>
</file>