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E:\Dropbox\PlatformIO\Projects\hx3_esp32\docs\"/>
    </mc:Choice>
  </mc:AlternateContent>
  <bookViews>
    <workbookView xWindow="360" yWindow="60" windowWidth="30915" windowHeight="16425"/>
  </bookViews>
  <sheets>
    <sheet name="HX3 WIFI Controller" sheetId="4" r:id="rId1"/>
  </sheets>
  <calcPr calcId="162913"/>
  <fileRecoveryPr repairLoad="1"/>
</workbook>
</file>

<file path=xl/calcChain.xml><?xml version="1.0" encoding="utf-8"?>
<calcChain xmlns="http://schemas.openxmlformats.org/spreadsheetml/2006/main">
  <c r="D18" i="4" l="1"/>
  <c r="L137" i="4"/>
  <c r="M137" i="4"/>
  <c r="N137" i="4"/>
  <c r="L138" i="4"/>
  <c r="M138" i="4"/>
  <c r="N138" i="4"/>
  <c r="L139" i="4"/>
  <c r="M139" i="4"/>
  <c r="N139" i="4"/>
  <c r="L26" i="4"/>
  <c r="M26" i="4"/>
  <c r="N26" i="4"/>
  <c r="N22" i="4"/>
  <c r="M22" i="4"/>
  <c r="L22" i="4"/>
  <c r="N21" i="4"/>
  <c r="M21" i="4"/>
  <c r="L21" i="4"/>
  <c r="L201" i="4"/>
  <c r="M201" i="4"/>
  <c r="N201" i="4"/>
  <c r="L205" i="4"/>
  <c r="M205" i="4"/>
  <c r="N205" i="4"/>
  <c r="L165" i="4"/>
  <c r="M165" i="4"/>
  <c r="N165" i="4"/>
  <c r="L12" i="4"/>
  <c r="M12" i="4"/>
  <c r="N12" i="4"/>
  <c r="L13" i="4"/>
  <c r="M13" i="4"/>
  <c r="N13" i="4"/>
  <c r="L4" i="4"/>
  <c r="M4" i="4"/>
  <c r="N4" i="4"/>
  <c r="L14" i="4"/>
  <c r="M14" i="4"/>
  <c r="N14" i="4"/>
  <c r="L15" i="4"/>
  <c r="M15" i="4"/>
  <c r="N15" i="4"/>
  <c r="L5" i="4"/>
  <c r="M5" i="4"/>
  <c r="N5" i="4"/>
  <c r="L16" i="4"/>
  <c r="M16" i="4"/>
  <c r="N16" i="4"/>
  <c r="L17" i="4"/>
  <c r="M17" i="4"/>
  <c r="N17" i="4"/>
  <c r="L6" i="4"/>
  <c r="M6" i="4"/>
  <c r="N6" i="4"/>
  <c r="L94" i="4"/>
  <c r="M94" i="4"/>
  <c r="N94" i="4"/>
  <c r="L95" i="4"/>
  <c r="M95" i="4"/>
  <c r="N95" i="4"/>
  <c r="L96" i="4"/>
  <c r="M96" i="4"/>
  <c r="N96" i="4"/>
  <c r="L97" i="4"/>
  <c r="M97" i="4"/>
  <c r="N97" i="4"/>
  <c r="L98" i="4"/>
  <c r="M98" i="4"/>
  <c r="N98" i="4"/>
  <c r="L99" i="4"/>
  <c r="M99" i="4"/>
  <c r="N99" i="4"/>
  <c r="L100" i="4"/>
  <c r="M100" i="4"/>
  <c r="N100" i="4"/>
  <c r="L101" i="4"/>
  <c r="M101" i="4"/>
  <c r="N101" i="4"/>
  <c r="L102" i="4"/>
  <c r="M102" i="4"/>
  <c r="N102" i="4"/>
  <c r="L103" i="4"/>
  <c r="M103" i="4"/>
  <c r="N103" i="4"/>
  <c r="L104" i="4"/>
  <c r="M104" i="4"/>
  <c r="N104" i="4"/>
  <c r="L105" i="4"/>
  <c r="M105" i="4"/>
  <c r="N105" i="4"/>
  <c r="L106" i="4"/>
  <c r="M106" i="4"/>
  <c r="N106" i="4"/>
  <c r="L107" i="4"/>
  <c r="M107" i="4"/>
  <c r="N107" i="4"/>
  <c r="L108" i="4"/>
  <c r="M108" i="4"/>
  <c r="N108" i="4"/>
  <c r="L109" i="4"/>
  <c r="M109" i="4"/>
  <c r="N109" i="4"/>
  <c r="L110" i="4"/>
  <c r="M110" i="4"/>
  <c r="N110" i="4"/>
  <c r="L111" i="4"/>
  <c r="M111" i="4"/>
  <c r="N111" i="4"/>
  <c r="L112" i="4"/>
  <c r="M112" i="4"/>
  <c r="N112" i="4"/>
  <c r="L113" i="4"/>
  <c r="M113" i="4"/>
  <c r="N113" i="4"/>
  <c r="L114" i="4"/>
  <c r="M114" i="4"/>
  <c r="N114" i="4"/>
  <c r="L115" i="4"/>
  <c r="M115" i="4"/>
  <c r="N115" i="4"/>
  <c r="L123" i="4"/>
  <c r="M123" i="4"/>
  <c r="N123" i="4"/>
  <c r="L124" i="4"/>
  <c r="M124" i="4"/>
  <c r="N124" i="4"/>
  <c r="L125" i="4"/>
  <c r="M125" i="4"/>
  <c r="N125" i="4"/>
  <c r="L126" i="4"/>
  <c r="M126" i="4"/>
  <c r="N126" i="4"/>
  <c r="L127" i="4"/>
  <c r="M127" i="4"/>
  <c r="N127" i="4"/>
  <c r="L46" i="4"/>
  <c r="M46" i="4"/>
  <c r="N46" i="4"/>
  <c r="L47" i="4"/>
  <c r="M47" i="4"/>
  <c r="N47" i="4"/>
  <c r="L48" i="4"/>
  <c r="M48" i="4"/>
  <c r="N48" i="4"/>
  <c r="L49" i="4"/>
  <c r="M49" i="4"/>
  <c r="N49" i="4"/>
  <c r="L50" i="4"/>
  <c r="M50" i="4"/>
  <c r="N50" i="4"/>
  <c r="L51" i="4"/>
  <c r="M51" i="4"/>
  <c r="N51" i="4"/>
  <c r="L52" i="4"/>
  <c r="M52" i="4"/>
  <c r="N52" i="4"/>
  <c r="L53" i="4"/>
  <c r="M53" i="4"/>
  <c r="N53" i="4"/>
  <c r="L54" i="4"/>
  <c r="M54" i="4"/>
  <c r="N54" i="4"/>
  <c r="L55" i="4"/>
  <c r="M55" i="4"/>
  <c r="N55" i="4"/>
  <c r="L56" i="4"/>
  <c r="M56" i="4"/>
  <c r="N56" i="4"/>
  <c r="L57" i="4"/>
  <c r="M57" i="4"/>
  <c r="N57" i="4"/>
  <c r="L58" i="4"/>
  <c r="M58" i="4"/>
  <c r="N58" i="4"/>
  <c r="L59" i="4"/>
  <c r="M59" i="4"/>
  <c r="N59" i="4"/>
  <c r="L60" i="4"/>
  <c r="M60" i="4"/>
  <c r="N60" i="4"/>
  <c r="L61" i="4"/>
  <c r="M61" i="4"/>
  <c r="N61" i="4"/>
  <c r="L62" i="4"/>
  <c r="M62" i="4"/>
  <c r="N62" i="4"/>
  <c r="L63" i="4"/>
  <c r="M63" i="4"/>
  <c r="N63" i="4"/>
  <c r="L64" i="4"/>
  <c r="M64" i="4"/>
  <c r="N64" i="4"/>
  <c r="L65" i="4"/>
  <c r="M65" i="4"/>
  <c r="N65" i="4"/>
  <c r="L66" i="4"/>
  <c r="M66" i="4"/>
  <c r="N66" i="4"/>
  <c r="L67" i="4"/>
  <c r="M67" i="4"/>
  <c r="N67" i="4"/>
  <c r="L68" i="4"/>
  <c r="M68" i="4"/>
  <c r="N68" i="4"/>
  <c r="L69" i="4"/>
  <c r="M69" i="4"/>
  <c r="N69" i="4"/>
  <c r="L70" i="4"/>
  <c r="M70" i="4"/>
  <c r="N70" i="4"/>
  <c r="L71" i="4"/>
  <c r="M71" i="4"/>
  <c r="N71" i="4"/>
  <c r="L72" i="4"/>
  <c r="M72" i="4"/>
  <c r="N72" i="4"/>
  <c r="L73" i="4"/>
  <c r="M73" i="4"/>
  <c r="N73" i="4"/>
  <c r="L74" i="4"/>
  <c r="M74" i="4"/>
  <c r="N74" i="4"/>
  <c r="L135" i="4"/>
  <c r="M135" i="4"/>
  <c r="N135" i="4"/>
  <c r="L136" i="4"/>
  <c r="M136" i="4"/>
  <c r="N136" i="4"/>
  <c r="L116" i="4"/>
  <c r="M116" i="4"/>
  <c r="N116" i="4"/>
  <c r="L117" i="4"/>
  <c r="M117" i="4"/>
  <c r="N117" i="4"/>
  <c r="L118" i="4"/>
  <c r="M118" i="4"/>
  <c r="N118" i="4"/>
  <c r="L119" i="4"/>
  <c r="M119" i="4"/>
  <c r="N119" i="4"/>
  <c r="L120" i="4"/>
  <c r="M120" i="4"/>
  <c r="N120" i="4"/>
  <c r="L121" i="4"/>
  <c r="M121" i="4"/>
  <c r="N121" i="4"/>
  <c r="L122" i="4"/>
  <c r="M122" i="4"/>
  <c r="N122" i="4"/>
  <c r="L36" i="4"/>
  <c r="M36" i="4"/>
  <c r="N36" i="4"/>
  <c r="L37" i="4"/>
  <c r="M37" i="4"/>
  <c r="N37" i="4"/>
  <c r="L38" i="4"/>
  <c r="M38" i="4"/>
  <c r="N38" i="4"/>
  <c r="L39" i="4"/>
  <c r="M39" i="4"/>
  <c r="N39" i="4"/>
  <c r="L40" i="4"/>
  <c r="M40" i="4"/>
  <c r="N40" i="4"/>
  <c r="L41" i="4"/>
  <c r="M41" i="4"/>
  <c r="N41" i="4"/>
  <c r="L42" i="4"/>
  <c r="M42" i="4"/>
  <c r="N42" i="4"/>
  <c r="L43" i="4"/>
  <c r="M43" i="4"/>
  <c r="N43" i="4"/>
  <c r="L44" i="4"/>
  <c r="M44" i="4"/>
  <c r="N44" i="4"/>
  <c r="L45" i="4"/>
  <c r="M45" i="4"/>
  <c r="N45" i="4"/>
  <c r="L75" i="4"/>
  <c r="M75" i="4"/>
  <c r="N75" i="4"/>
  <c r="L76" i="4"/>
  <c r="M76" i="4"/>
  <c r="N76" i="4"/>
  <c r="L77" i="4"/>
  <c r="M77" i="4"/>
  <c r="N77" i="4"/>
  <c r="L78" i="4"/>
  <c r="M78" i="4"/>
  <c r="N78" i="4"/>
  <c r="L79" i="4"/>
  <c r="M79" i="4"/>
  <c r="N79" i="4"/>
  <c r="L80" i="4"/>
  <c r="M80" i="4"/>
  <c r="N80" i="4"/>
  <c r="L81" i="4"/>
  <c r="M81" i="4"/>
  <c r="N81" i="4"/>
  <c r="L82" i="4"/>
  <c r="M82" i="4"/>
  <c r="N82" i="4"/>
  <c r="L83" i="4"/>
  <c r="M83" i="4"/>
  <c r="N83" i="4"/>
  <c r="L84" i="4"/>
  <c r="M84" i="4"/>
  <c r="N84" i="4"/>
  <c r="L85" i="4"/>
  <c r="M85" i="4"/>
  <c r="N85" i="4"/>
  <c r="L86" i="4"/>
  <c r="M86" i="4"/>
  <c r="N86" i="4"/>
  <c r="L87" i="4"/>
  <c r="M87" i="4"/>
  <c r="N87" i="4"/>
  <c r="L88" i="4"/>
  <c r="M88" i="4"/>
  <c r="N88" i="4"/>
  <c r="L89" i="4"/>
  <c r="M89" i="4"/>
  <c r="N89" i="4"/>
  <c r="L90" i="4"/>
  <c r="M90" i="4"/>
  <c r="N90" i="4"/>
  <c r="L91" i="4"/>
  <c r="M91" i="4"/>
  <c r="N91" i="4"/>
  <c r="L92" i="4"/>
  <c r="M92" i="4"/>
  <c r="N92" i="4"/>
  <c r="L93" i="4"/>
  <c r="M93" i="4"/>
  <c r="N93" i="4"/>
  <c r="L23" i="4"/>
  <c r="M23" i="4"/>
  <c r="N23" i="4"/>
  <c r="L176" i="4"/>
  <c r="M176" i="4"/>
  <c r="N176" i="4"/>
  <c r="L177" i="4"/>
  <c r="M177" i="4"/>
  <c r="N177" i="4"/>
  <c r="L178" i="4"/>
  <c r="M178" i="4"/>
  <c r="N178" i="4"/>
  <c r="L179" i="4"/>
  <c r="M179" i="4"/>
  <c r="N179" i="4"/>
  <c r="L180" i="4"/>
  <c r="M180" i="4"/>
  <c r="N180" i="4"/>
  <c r="L181" i="4"/>
  <c r="M181" i="4"/>
  <c r="N181" i="4"/>
  <c r="L182" i="4"/>
  <c r="M182" i="4"/>
  <c r="N182" i="4"/>
  <c r="L183" i="4"/>
  <c r="M183" i="4"/>
  <c r="N183" i="4"/>
  <c r="L11" i="4"/>
  <c r="M11" i="4"/>
  <c r="N11" i="4"/>
  <c r="L18" i="4"/>
  <c r="M18" i="4"/>
  <c r="N18" i="4"/>
  <c r="L19" i="4"/>
  <c r="M19" i="4"/>
  <c r="N19" i="4"/>
  <c r="L20" i="4"/>
  <c r="M20" i="4"/>
  <c r="N20" i="4"/>
  <c r="L154" i="4"/>
  <c r="M154" i="4"/>
  <c r="N154" i="4"/>
  <c r="L155" i="4"/>
  <c r="M155" i="4"/>
  <c r="N155" i="4"/>
  <c r="L156" i="4"/>
  <c r="M156" i="4"/>
  <c r="N156" i="4"/>
  <c r="L157" i="4"/>
  <c r="M157" i="4"/>
  <c r="N157" i="4"/>
  <c r="L158" i="4"/>
  <c r="M158" i="4"/>
  <c r="N158" i="4"/>
  <c r="L159" i="4"/>
  <c r="M159" i="4"/>
  <c r="N159" i="4"/>
  <c r="L160" i="4"/>
  <c r="M160" i="4"/>
  <c r="N160" i="4"/>
  <c r="L161" i="4"/>
  <c r="M161" i="4"/>
  <c r="N161" i="4"/>
  <c r="L25" i="4"/>
  <c r="M25" i="4"/>
  <c r="N25" i="4"/>
  <c r="L140" i="4"/>
  <c r="M140" i="4"/>
  <c r="N140" i="4"/>
  <c r="L141" i="4"/>
  <c r="M141" i="4"/>
  <c r="N141" i="4"/>
  <c r="L142" i="4"/>
  <c r="M142" i="4"/>
  <c r="N142" i="4"/>
  <c r="L143" i="4"/>
  <c r="M143" i="4"/>
  <c r="N143" i="4"/>
  <c r="L144" i="4"/>
  <c r="M144" i="4"/>
  <c r="N144" i="4"/>
  <c r="L145" i="4"/>
  <c r="M145" i="4"/>
  <c r="N145" i="4"/>
  <c r="L146" i="4"/>
  <c r="M146" i="4"/>
  <c r="N146" i="4"/>
  <c r="L147" i="4"/>
  <c r="M147" i="4"/>
  <c r="N147" i="4"/>
  <c r="L148" i="4"/>
  <c r="M148" i="4"/>
  <c r="N148" i="4"/>
  <c r="L149" i="4"/>
  <c r="M149" i="4"/>
  <c r="N149" i="4"/>
  <c r="L150" i="4"/>
  <c r="M150" i="4"/>
  <c r="N150" i="4"/>
  <c r="L151" i="4"/>
  <c r="M151" i="4"/>
  <c r="N151" i="4"/>
  <c r="L152" i="4"/>
  <c r="M152" i="4"/>
  <c r="N152" i="4"/>
  <c r="L153" i="4"/>
  <c r="M153" i="4"/>
  <c r="N153" i="4"/>
  <c r="L184" i="4"/>
  <c r="M184" i="4"/>
  <c r="N184" i="4"/>
  <c r="L185" i="4"/>
  <c r="M185" i="4"/>
  <c r="N185" i="4"/>
  <c r="L186" i="4"/>
  <c r="M186" i="4"/>
  <c r="N186" i="4"/>
  <c r="L187" i="4"/>
  <c r="M187" i="4"/>
  <c r="N187" i="4"/>
  <c r="L188" i="4"/>
  <c r="M188" i="4"/>
  <c r="N188" i="4"/>
  <c r="L162" i="4"/>
  <c r="M162" i="4"/>
  <c r="N162" i="4"/>
  <c r="L163" i="4"/>
  <c r="M163" i="4"/>
  <c r="N163" i="4"/>
  <c r="L164" i="4"/>
  <c r="M164" i="4"/>
  <c r="N164" i="4"/>
  <c r="L166" i="4"/>
  <c r="M166" i="4"/>
  <c r="N166" i="4"/>
  <c r="L167" i="4"/>
  <c r="M167" i="4"/>
  <c r="N167" i="4"/>
  <c r="L168" i="4"/>
  <c r="M168" i="4"/>
  <c r="N168" i="4"/>
  <c r="L169" i="4"/>
  <c r="M169" i="4"/>
  <c r="N169" i="4"/>
  <c r="L170" i="4"/>
  <c r="M170" i="4"/>
  <c r="N170" i="4"/>
  <c r="L171" i="4"/>
  <c r="M171" i="4"/>
  <c r="N171" i="4"/>
  <c r="L172" i="4"/>
  <c r="M172" i="4"/>
  <c r="N172" i="4"/>
  <c r="L173" i="4"/>
  <c r="M173" i="4"/>
  <c r="N173" i="4"/>
  <c r="L174" i="4"/>
  <c r="M174" i="4"/>
  <c r="N174" i="4"/>
  <c r="L175" i="4"/>
  <c r="M175" i="4"/>
  <c r="N175" i="4"/>
  <c r="M24" i="4" l="1"/>
  <c r="N24" i="4"/>
  <c r="L24" i="4"/>
  <c r="N3" i="4"/>
  <c r="N8" i="4"/>
  <c r="N9" i="4"/>
  <c r="N7" i="4"/>
  <c r="N10" i="4"/>
  <c r="N27" i="4"/>
  <c r="N28" i="4"/>
  <c r="N29" i="4"/>
  <c r="N30" i="4"/>
  <c r="N31" i="4"/>
  <c r="N32" i="4"/>
  <c r="N33" i="4"/>
  <c r="N34" i="4"/>
  <c r="N35" i="4"/>
  <c r="N128" i="4"/>
  <c r="N129" i="4"/>
  <c r="N130" i="4"/>
  <c r="N131" i="4"/>
  <c r="N132" i="4"/>
  <c r="N133" i="4"/>
  <c r="N134" i="4"/>
  <c r="N189" i="4"/>
  <c r="N190" i="4"/>
  <c r="N191" i="4"/>
  <c r="N192" i="4"/>
  <c r="N193" i="4"/>
  <c r="N194" i="4"/>
  <c r="N195" i="4"/>
  <c r="N196" i="4"/>
  <c r="N197" i="4"/>
  <c r="N198" i="4"/>
  <c r="N199" i="4"/>
  <c r="N200" i="4"/>
  <c r="N202" i="4"/>
  <c r="N203" i="4"/>
  <c r="N204" i="4"/>
  <c r="N2" i="4"/>
  <c r="L3" i="4"/>
  <c r="M3" i="4"/>
  <c r="L8" i="4"/>
  <c r="M8" i="4"/>
  <c r="L9" i="4"/>
  <c r="M9" i="4"/>
  <c r="L7" i="4"/>
  <c r="M7" i="4"/>
  <c r="L10" i="4"/>
  <c r="M10" i="4"/>
  <c r="L27" i="4"/>
  <c r="M27" i="4"/>
  <c r="L28" i="4"/>
  <c r="M28" i="4"/>
  <c r="L29" i="4"/>
  <c r="M29" i="4"/>
  <c r="L30" i="4"/>
  <c r="M30" i="4"/>
  <c r="L31" i="4"/>
  <c r="M31" i="4"/>
  <c r="L32" i="4"/>
  <c r="M32" i="4"/>
  <c r="L33" i="4"/>
  <c r="M33" i="4"/>
  <c r="L34" i="4"/>
  <c r="M34" i="4"/>
  <c r="L35" i="4"/>
  <c r="M35" i="4"/>
  <c r="L128" i="4"/>
  <c r="M128" i="4"/>
  <c r="L129" i="4"/>
  <c r="M129" i="4"/>
  <c r="L130" i="4"/>
  <c r="M130" i="4"/>
  <c r="L131" i="4"/>
  <c r="M131" i="4"/>
  <c r="L132" i="4"/>
  <c r="M132" i="4"/>
  <c r="L133" i="4"/>
  <c r="M133" i="4"/>
  <c r="L134" i="4"/>
  <c r="M134" i="4"/>
  <c r="L189" i="4"/>
  <c r="M189" i="4"/>
  <c r="L190" i="4"/>
  <c r="M190" i="4"/>
  <c r="L191" i="4"/>
  <c r="M191" i="4"/>
  <c r="L192" i="4"/>
  <c r="M192" i="4"/>
  <c r="L193" i="4"/>
  <c r="M193" i="4"/>
  <c r="L194" i="4"/>
  <c r="M194" i="4"/>
  <c r="L195" i="4"/>
  <c r="M195" i="4"/>
  <c r="L196" i="4"/>
  <c r="M196" i="4"/>
  <c r="L197" i="4"/>
  <c r="M197" i="4"/>
  <c r="L198" i="4"/>
  <c r="M198" i="4"/>
  <c r="L199" i="4"/>
  <c r="M199" i="4"/>
  <c r="L200" i="4"/>
  <c r="M200" i="4"/>
  <c r="L202" i="4"/>
  <c r="M202" i="4"/>
  <c r="L203" i="4"/>
  <c r="M203" i="4"/>
  <c r="L204" i="4"/>
  <c r="M204" i="4"/>
  <c r="A3" i="4" l="1"/>
  <c r="A4" i="4" s="1"/>
  <c r="A5" i="4" s="1"/>
  <c r="A6" i="4" s="1"/>
  <c r="A7" i="4" s="1"/>
  <c r="A8" i="4" s="1"/>
  <c r="A9" i="4" s="1"/>
  <c r="A12" i="4" s="1"/>
  <c r="A13" i="4" s="1"/>
  <c r="A14" i="4" s="1"/>
  <c r="A15" i="4" s="1"/>
  <c r="A16" i="4" s="1"/>
  <c r="A17" i="4" s="1"/>
  <c r="A11" i="4" s="1"/>
  <c r="A10" i="4" s="1"/>
  <c r="A18" i="4" s="1"/>
  <c r="M2" i="4"/>
  <c r="L2" i="4"/>
  <c r="A19" i="4" l="1"/>
  <c r="A20" i="4" s="1"/>
  <c r="A21" i="4" s="1"/>
  <c r="A22" i="4" l="1"/>
  <c r="C8" i="4"/>
  <c r="A23" i="4" l="1"/>
  <c r="D8" i="4"/>
  <c r="O22" i="4"/>
  <c r="O21" i="4"/>
  <c r="A24" i="4" l="1"/>
  <c r="A25" i="4" s="1"/>
  <c r="C7" i="4"/>
  <c r="A26" i="4" l="1"/>
  <c r="O23" i="4"/>
  <c r="E8" i="4"/>
  <c r="C9" i="4" l="1"/>
  <c r="A27" i="4"/>
  <c r="A28" i="4" s="1"/>
  <c r="A29" i="4" s="1"/>
  <c r="A30" i="4" s="1"/>
  <c r="A31" i="4" s="1"/>
  <c r="D9" i="4"/>
  <c r="O26" i="4"/>
  <c r="O8" i="4"/>
  <c r="O24" i="4"/>
  <c r="E9" i="4" l="1"/>
  <c r="O9" i="4"/>
  <c r="O25" i="4"/>
  <c r="D7" i="4"/>
  <c r="E7" i="4" s="1"/>
  <c r="O7" i="4" l="1"/>
  <c r="O27" i="4" l="1"/>
  <c r="C3" i="4"/>
  <c r="O28" i="4" l="1"/>
  <c r="O29" i="4" l="1"/>
  <c r="O30" i="4" l="1"/>
  <c r="O31" i="4" l="1"/>
  <c r="A32" i="4"/>
  <c r="O32" i="4" l="1"/>
  <c r="A33" i="4"/>
  <c r="O33" i="4" l="1"/>
  <c r="A34" i="4"/>
  <c r="O34" i="4" l="1"/>
  <c r="A35" i="4"/>
  <c r="O35" i="4" l="1"/>
  <c r="A36" i="4"/>
  <c r="O36" i="4" l="1"/>
  <c r="A37" i="4"/>
  <c r="O37" i="4" l="1"/>
  <c r="A38" i="4"/>
  <c r="O38" i="4" l="1"/>
  <c r="A39" i="4"/>
  <c r="D3" i="4"/>
  <c r="E3" i="4" l="1"/>
  <c r="O3" i="4"/>
  <c r="O39" i="4"/>
  <c r="A40" i="4"/>
  <c r="C13" i="4"/>
  <c r="O40" i="4" l="1"/>
  <c r="A41" i="4"/>
  <c r="O41" i="4" l="1"/>
  <c r="A42" i="4"/>
  <c r="O42" i="4" l="1"/>
  <c r="A43" i="4"/>
  <c r="O43" i="4" l="1"/>
  <c r="A44" i="4"/>
  <c r="O44" i="4" l="1"/>
  <c r="A45" i="4"/>
  <c r="O45" i="4" l="1"/>
  <c r="A46" i="4"/>
  <c r="D13" i="4"/>
  <c r="E13" i="4" l="1"/>
  <c r="O13" i="4"/>
  <c r="O46" i="4"/>
  <c r="A47" i="4"/>
  <c r="C12" i="4"/>
  <c r="O47" i="4" l="1"/>
  <c r="A48" i="4"/>
  <c r="O48" i="4" l="1"/>
  <c r="A49" i="4"/>
  <c r="O49" i="4" l="1"/>
  <c r="A50" i="4"/>
  <c r="O50" i="4" l="1"/>
  <c r="A51" i="4"/>
  <c r="O51" i="4" l="1"/>
  <c r="A52" i="4"/>
  <c r="O52" i="4" l="1"/>
  <c r="A53" i="4"/>
  <c r="O53" i="4" l="1"/>
  <c r="A54" i="4"/>
  <c r="O54" i="4" l="1"/>
  <c r="A55" i="4"/>
  <c r="O55" i="4" l="1"/>
  <c r="A56" i="4"/>
  <c r="O56" i="4" l="1"/>
  <c r="A57" i="4"/>
  <c r="O57" i="4" l="1"/>
  <c r="A58" i="4"/>
  <c r="O58" i="4" l="1"/>
  <c r="A59" i="4"/>
  <c r="O59" i="4" l="1"/>
  <c r="A60" i="4"/>
  <c r="O60" i="4" l="1"/>
  <c r="A61" i="4"/>
  <c r="O61" i="4" l="1"/>
  <c r="A62" i="4"/>
  <c r="O62" i="4" l="1"/>
  <c r="A63" i="4"/>
  <c r="O63" i="4" l="1"/>
  <c r="A64" i="4"/>
  <c r="O64" i="4" l="1"/>
  <c r="A65" i="4"/>
  <c r="O65" i="4" l="1"/>
  <c r="A66" i="4"/>
  <c r="O66" i="4" l="1"/>
  <c r="A67" i="4"/>
  <c r="O67" i="4" l="1"/>
  <c r="A68" i="4"/>
  <c r="O68" i="4" l="1"/>
  <c r="A69" i="4"/>
  <c r="O69" i="4" l="1"/>
  <c r="A70" i="4"/>
  <c r="O70" i="4" l="1"/>
  <c r="A71" i="4"/>
  <c r="O71" i="4" l="1"/>
  <c r="A72" i="4"/>
  <c r="O72" i="4" l="1"/>
  <c r="A73" i="4"/>
  <c r="O73" i="4" l="1"/>
  <c r="A74" i="4"/>
  <c r="O74" i="4" l="1"/>
  <c r="A75" i="4"/>
  <c r="D12" i="4"/>
  <c r="E12" i="4" s="1"/>
  <c r="O75" i="4" l="1"/>
  <c r="A76" i="4"/>
  <c r="C4" i="4"/>
  <c r="A77" i="4" l="1"/>
  <c r="O76" i="4"/>
  <c r="A78" i="4" l="1"/>
  <c r="O77" i="4"/>
  <c r="O78" i="4" l="1"/>
  <c r="A79" i="4"/>
  <c r="A80" i="4" l="1"/>
  <c r="O79" i="4"/>
  <c r="O80" i="4" l="1"/>
  <c r="A81" i="4"/>
  <c r="A82" i="4" l="1"/>
  <c r="O81" i="4"/>
  <c r="A83" i="4" l="1"/>
  <c r="O82" i="4"/>
  <c r="A84" i="4" l="1"/>
  <c r="O83" i="4"/>
  <c r="A85" i="4" l="1"/>
  <c r="O84" i="4"/>
  <c r="A86" i="4" l="1"/>
  <c r="O85" i="4"/>
  <c r="O86" i="4" l="1"/>
  <c r="D4" i="4"/>
  <c r="A87" i="4"/>
  <c r="C15" i="4" l="1"/>
  <c r="A88" i="4"/>
  <c r="O87" i="4"/>
  <c r="E4" i="4"/>
  <c r="O4" i="4"/>
  <c r="A89" i="4" l="1"/>
  <c r="O88" i="4"/>
  <c r="A90" i="4" l="1"/>
  <c r="O89" i="4"/>
  <c r="A91" i="4" l="1"/>
  <c r="O90" i="4"/>
  <c r="A92" i="4" l="1"/>
  <c r="O91" i="4"/>
  <c r="A93" i="4" l="1"/>
  <c r="O92" i="4"/>
  <c r="A94" i="4" l="1"/>
  <c r="D15" i="4"/>
  <c r="O93" i="4"/>
  <c r="A95" i="4" l="1"/>
  <c r="C14" i="4"/>
  <c r="O94" i="4"/>
  <c r="E15" i="4"/>
  <c r="O15" i="4"/>
  <c r="A96" i="4" l="1"/>
  <c r="O95" i="4"/>
  <c r="A97" i="4" l="1"/>
  <c r="O96" i="4"/>
  <c r="O97" i="4" l="1"/>
  <c r="A98" i="4"/>
  <c r="A99" i="4" l="1"/>
  <c r="O98" i="4"/>
  <c r="O99" i="4" l="1"/>
  <c r="A100" i="4"/>
  <c r="A101" i="4" l="1"/>
  <c r="O100" i="4"/>
  <c r="A102" i="4" l="1"/>
  <c r="O101" i="4"/>
  <c r="A103" i="4" l="1"/>
  <c r="O102" i="4"/>
  <c r="A104" i="4" l="1"/>
  <c r="O103" i="4"/>
  <c r="O104" i="4" l="1"/>
  <c r="A105" i="4"/>
  <c r="A106" i="4" l="1"/>
  <c r="O105" i="4"/>
  <c r="O106" i="4" l="1"/>
  <c r="A107" i="4"/>
  <c r="O107" i="4" l="1"/>
  <c r="A108" i="4"/>
  <c r="A109" i="4" l="1"/>
  <c r="O108" i="4"/>
  <c r="A110" i="4" l="1"/>
  <c r="O109" i="4"/>
  <c r="O110" i="4" l="1"/>
  <c r="D14" i="4"/>
  <c r="A111" i="4"/>
  <c r="A112" i="4" l="1"/>
  <c r="O111" i="4"/>
  <c r="C5" i="4"/>
  <c r="E14" i="4"/>
  <c r="O14" i="4"/>
  <c r="A113" i="4" l="1"/>
  <c r="O112" i="4"/>
  <c r="O113" i="4" l="1"/>
  <c r="A114" i="4"/>
  <c r="A115" i="4" l="1"/>
  <c r="O114" i="4"/>
  <c r="D5" i="4" l="1"/>
  <c r="O115" i="4"/>
  <c r="A116" i="4"/>
  <c r="O116" i="4" l="1"/>
  <c r="A117" i="4"/>
  <c r="C17" i="4"/>
  <c r="E5" i="4"/>
  <c r="O5" i="4"/>
  <c r="O117" i="4" l="1"/>
  <c r="A118" i="4"/>
  <c r="A119" i="4" l="1"/>
  <c r="O118" i="4"/>
  <c r="O119" i="4" l="1"/>
  <c r="A120" i="4"/>
  <c r="O120" i="4" l="1"/>
  <c r="A121" i="4"/>
  <c r="A122" i="4" l="1"/>
  <c r="O121" i="4"/>
  <c r="D17" i="4" l="1"/>
  <c r="O122" i="4"/>
  <c r="A123" i="4"/>
  <c r="O123" i="4" l="1"/>
  <c r="C16" i="4"/>
  <c r="A124" i="4"/>
  <c r="E17" i="4"/>
  <c r="O17" i="4"/>
  <c r="A125" i="4" l="1"/>
  <c r="O124" i="4"/>
  <c r="A126" i="4" l="1"/>
  <c r="O125" i="4"/>
  <c r="A127" i="4" l="1"/>
  <c r="O126" i="4"/>
  <c r="A128" i="4" l="1"/>
  <c r="O127" i="4"/>
  <c r="D16" i="4"/>
  <c r="E16" i="4" l="1"/>
  <c r="O16" i="4"/>
  <c r="O128" i="4"/>
  <c r="A129" i="4"/>
  <c r="C6" i="4"/>
  <c r="A130" i="4" l="1"/>
  <c r="O129" i="4"/>
  <c r="A131" i="4" l="1"/>
  <c r="O130" i="4"/>
  <c r="O131" i="4" l="1"/>
  <c r="A132" i="4"/>
  <c r="O12" i="4"/>
  <c r="A133" i="4" l="1"/>
  <c r="O132" i="4"/>
  <c r="A134" i="4" l="1"/>
  <c r="O133" i="4"/>
  <c r="O134" i="4" l="1"/>
  <c r="A135" i="4"/>
  <c r="A136" i="4" l="1"/>
  <c r="A137" i="4" s="1"/>
  <c r="O135" i="4"/>
  <c r="A138" i="4" l="1"/>
  <c r="O137" i="4"/>
  <c r="O136" i="4"/>
  <c r="A139" i="4" l="1"/>
  <c r="O138" i="4"/>
  <c r="A140" i="4" l="1"/>
  <c r="D6" i="4"/>
  <c r="O139" i="4"/>
  <c r="E6" i="4" l="1"/>
  <c r="O6" i="4"/>
  <c r="A141" i="4"/>
  <c r="C18" i="4"/>
  <c r="O140" i="4"/>
  <c r="A142" i="4" l="1"/>
  <c r="O141" i="4"/>
  <c r="O142" i="4" l="1"/>
  <c r="A143" i="4"/>
  <c r="A144" i="4" l="1"/>
  <c r="O143" i="4"/>
  <c r="A145" i="4" l="1"/>
  <c r="O144" i="4"/>
  <c r="O145" i="4" l="1"/>
  <c r="A146" i="4"/>
  <c r="A147" i="4" l="1"/>
  <c r="O146" i="4"/>
  <c r="A148" i="4" l="1"/>
  <c r="O147" i="4"/>
  <c r="A149" i="4" l="1"/>
  <c r="O148" i="4"/>
  <c r="O149" i="4" l="1"/>
  <c r="A150" i="4"/>
  <c r="O150" i="4" l="1"/>
  <c r="A151" i="4"/>
  <c r="A152" i="4" l="1"/>
  <c r="O151" i="4"/>
  <c r="A153" i="4" l="1"/>
  <c r="O152" i="4"/>
  <c r="A154" i="4" l="1"/>
  <c r="O153" i="4"/>
  <c r="E18" i="4" l="1"/>
  <c r="O18" i="4"/>
  <c r="A155" i="4"/>
  <c r="O154" i="4"/>
  <c r="A156" i="4" l="1"/>
  <c r="O155" i="4"/>
  <c r="A157" i="4" l="1"/>
  <c r="O156" i="4"/>
  <c r="A158" i="4" l="1"/>
  <c r="O157" i="4"/>
  <c r="A159" i="4" l="1"/>
  <c r="O158" i="4"/>
  <c r="A160" i="4" l="1"/>
  <c r="O159" i="4"/>
  <c r="A161" i="4" l="1"/>
  <c r="O160" i="4"/>
  <c r="O161" i="4" l="1"/>
  <c r="A162" i="4"/>
  <c r="A163" i="4" l="1"/>
  <c r="C10" i="4"/>
  <c r="O162" i="4"/>
  <c r="A164" i="4" l="1"/>
  <c r="O163" i="4"/>
  <c r="A165" i="4" l="1"/>
  <c r="D10" i="4"/>
  <c r="O164" i="4"/>
  <c r="A166" i="4" l="1"/>
  <c r="C11" i="4"/>
  <c r="O165" i="4"/>
  <c r="E10" i="4"/>
  <c r="O10" i="4"/>
  <c r="A167" i="4" l="1"/>
  <c r="O166" i="4"/>
  <c r="O167" i="4" l="1"/>
  <c r="A168" i="4"/>
  <c r="A169" i="4" l="1"/>
  <c r="O168" i="4"/>
  <c r="A170" i="4" l="1"/>
  <c r="O169" i="4"/>
  <c r="A171" i="4" l="1"/>
  <c r="O170" i="4"/>
  <c r="O171" i="4" l="1"/>
  <c r="A172" i="4"/>
  <c r="O172" i="4" l="1"/>
  <c r="A173" i="4"/>
  <c r="A174" i="4" l="1"/>
  <c r="O173" i="4"/>
  <c r="A175" i="4" l="1"/>
  <c r="O174" i="4"/>
  <c r="A176" i="4" l="1"/>
  <c r="D11" i="4"/>
  <c r="O175" i="4"/>
  <c r="O176" i="4" l="1"/>
  <c r="C19" i="4"/>
  <c r="A177" i="4"/>
  <c r="E11" i="4"/>
  <c r="O11" i="4"/>
  <c r="A178" i="4" l="1"/>
  <c r="O177" i="4"/>
  <c r="A179" i="4" l="1"/>
  <c r="O178" i="4"/>
  <c r="A180" i="4" l="1"/>
  <c r="O179" i="4"/>
  <c r="A181" i="4" l="1"/>
  <c r="O180" i="4"/>
  <c r="A182" i="4" l="1"/>
  <c r="O181" i="4"/>
  <c r="A183" i="4" l="1"/>
  <c r="O182" i="4"/>
  <c r="O183" i="4" l="1"/>
  <c r="A184" i="4"/>
  <c r="O184" i="4" l="1"/>
  <c r="A185" i="4"/>
  <c r="A186" i="4" l="1"/>
  <c r="O185" i="4"/>
  <c r="A187" i="4" l="1"/>
  <c r="O186" i="4"/>
  <c r="A188" i="4" l="1"/>
  <c r="O187" i="4"/>
  <c r="A189" i="4" l="1"/>
  <c r="D19" i="4"/>
  <c r="O188" i="4"/>
  <c r="E19" i="4" l="1"/>
  <c r="O19" i="4"/>
  <c r="C20" i="4"/>
  <c r="O189" i="4"/>
  <c r="A190" i="4"/>
  <c r="A191" i="4" l="1"/>
  <c r="O190" i="4"/>
  <c r="A192" i="4" l="1"/>
  <c r="O191" i="4"/>
  <c r="A193" i="4" l="1"/>
  <c r="O192" i="4"/>
  <c r="O193" i="4" l="1"/>
  <c r="A194" i="4"/>
  <c r="A195" i="4" l="1"/>
  <c r="O194" i="4"/>
  <c r="O195" i="4" l="1"/>
  <c r="A196" i="4"/>
  <c r="O196" i="4" l="1"/>
  <c r="A197" i="4"/>
  <c r="A198" i="4" l="1"/>
  <c r="O197" i="4"/>
  <c r="A199" i="4" l="1"/>
  <c r="O198" i="4"/>
  <c r="A200" i="4" l="1"/>
  <c r="O199" i="4"/>
  <c r="O200" i="4" l="1"/>
  <c r="D20" i="4"/>
  <c r="A201" i="4"/>
  <c r="C2" i="4" l="1"/>
  <c r="A202" i="4"/>
  <c r="O201" i="4"/>
  <c r="E20" i="4"/>
  <c r="O20" i="4"/>
  <c r="A203" i="4" l="1"/>
  <c r="O202" i="4"/>
  <c r="A204" i="4" l="1"/>
  <c r="O203" i="4"/>
  <c r="A205" i="4" l="1"/>
  <c r="O204" i="4"/>
  <c r="O205" i="4" l="1"/>
  <c r="D2" i="4"/>
  <c r="A206" i="4"/>
  <c r="E2" i="4" l="1"/>
  <c r="O2" i="4"/>
</calcChain>
</file>

<file path=xl/comments1.xml><?xml version="1.0" encoding="utf-8"?>
<comments xmlns="http://schemas.openxmlformats.org/spreadsheetml/2006/main">
  <authors>
    <author>Carsten</author>
  </authors>
  <commentList>
    <comment ref="C12" authorId="0" shapeId="0">
      <text>
        <r>
          <rPr>
            <b/>
            <sz val="9"/>
            <color indexed="81"/>
            <rFont val="Segoe UI"/>
            <family val="2"/>
          </rPr>
          <t>Carsten:</t>
        </r>
        <r>
          <rPr>
            <sz val="9"/>
            <color indexed="81"/>
            <rFont val="Segoe UI"/>
            <family val="2"/>
          </rPr>
          <t xml:space="preserve">
Start/End -1, wenn kein Submenu vorhanden ist</t>
        </r>
      </text>
    </comment>
  </commentList>
</comments>
</file>

<file path=xl/sharedStrings.xml><?xml version="1.0" encoding="utf-8"?>
<sst xmlns="http://schemas.openxmlformats.org/spreadsheetml/2006/main" count="628" uniqueCount="196">
  <si>
    <t>Index #</t>
  </si>
  <si>
    <t>Velocity Slope</t>
  </si>
  <si>
    <t>};</t>
  </si>
  <si>
    <t>Min</t>
  </si>
  <si>
    <t>Max</t>
  </si>
  <si>
    <t>Menu Entry String (max. 15 Chars)</t>
  </si>
  <si>
    <t>Master Volume</t>
  </si>
  <si>
    <t>Amp Gain</t>
  </si>
  <si>
    <t>NULL</t>
  </si>
  <si>
    <t xml:space="preserve">const menuEntryType MenuItems[MENU_ITEMCOUNT] PROGMEM = { </t>
  </si>
  <si>
    <t>Menu-Text</t>
  </si>
  <si>
    <t>MIDI Channel</t>
  </si>
  <si>
    <t>Upper Voice</t>
  </si>
  <si>
    <t>Lower Voice</t>
  </si>
  <si>
    <t>Pedal Voice</t>
  </si>
  <si>
    <t>enterAction</t>
  </si>
  <si>
    <t>Perc Soft</t>
  </si>
  <si>
    <t>Perc Fast</t>
  </si>
  <si>
    <t>Perc Third</t>
  </si>
  <si>
    <t>Vib Knob</t>
  </si>
  <si>
    <t>Vib On Lower</t>
  </si>
  <si>
    <t>Vib On Upper</t>
  </si>
  <si>
    <t>Preset</t>
  </si>
  <si>
    <t>Tabs</t>
  </si>
  <si>
    <t>none</t>
  </si>
  <si>
    <t>displayType</t>
  </si>
  <si>
    <t>numeric</t>
  </si>
  <si>
    <t>drawbar</t>
  </si>
  <si>
    <t>tab</t>
  </si>
  <si>
    <t>savePreset</t>
  </si>
  <si>
    <t xml:space="preserve">LED Dimmer   </t>
  </si>
  <si>
    <t>Bootld Update</t>
  </si>
  <si>
    <t xml:space="preserve">Preset Init  </t>
  </si>
  <si>
    <t xml:space="preserve">MIDI CC Set  </t>
  </si>
  <si>
    <t>MIDI Swell CC</t>
  </si>
  <si>
    <t>MIDI VolumeCC</t>
  </si>
  <si>
    <t>MIDI PresetCC</t>
  </si>
  <si>
    <t xml:space="preserve">MIDI Send    </t>
  </si>
  <si>
    <t xml:space="preserve">Split Keyb   </t>
  </si>
  <si>
    <t xml:space="preserve">Split Point  </t>
  </si>
  <si>
    <t xml:space="preserve">Split Mode   </t>
  </si>
  <si>
    <t>No ProgChgRcv</t>
  </si>
  <si>
    <t>Rotary Speed</t>
  </si>
  <si>
    <t>Rotary Bypass</t>
  </si>
  <si>
    <t>Reverb Prgm</t>
  </si>
  <si>
    <t>Transpose</t>
  </si>
  <si>
    <t>button</t>
  </si>
  <si>
    <t>Zuweisung displayType</t>
  </si>
  <si>
    <t>Array Index</t>
  </si>
  <si>
    <t>Zuweisung enterAction</t>
  </si>
  <si>
    <t>Submenu Start</t>
  </si>
  <si>
    <t>Submenu End</t>
  </si>
  <si>
    <t xml:space="preserve">Mid Equ Frq  </t>
  </si>
  <si>
    <t>Equalizer</t>
  </si>
  <si>
    <t>AO28 Tone Pot</t>
  </si>
  <si>
    <t>AO28 Gain Cap</t>
  </si>
  <si>
    <t>AO28 MinSwell</t>
  </si>
  <si>
    <t>AO28 Tube Age</t>
  </si>
  <si>
    <t xml:space="preserve">Rotary Throb </t>
  </si>
  <si>
    <t>Rotary Spread</t>
  </si>
  <si>
    <t>Tube Select A</t>
  </si>
  <si>
    <t>Tube Select B</t>
  </si>
  <si>
    <t>Lubed Contacts</t>
  </si>
  <si>
    <t>Perc Muted Lvl</t>
  </si>
  <si>
    <t>H100 2ndVoice</t>
  </si>
  <si>
    <t xml:space="preserve">EG DB To Dry </t>
  </si>
  <si>
    <t>Ext FX Insert</t>
  </si>
  <si>
    <t>Drawbar 16</t>
  </si>
  <si>
    <t>Drawbar 5 1/3</t>
  </si>
  <si>
    <t>Drawbar 8</t>
  </si>
  <si>
    <t>Drawbar 4</t>
  </si>
  <si>
    <t>Drawbar 2 2/3</t>
  </si>
  <si>
    <t>Drawbar 2</t>
  </si>
  <si>
    <t>Drawbar 1 3/5</t>
  </si>
  <si>
    <t>Drawbar 1 1/3</t>
  </si>
  <si>
    <t>Drawbar 1</t>
  </si>
  <si>
    <t>Drawbar Mix 1</t>
  </si>
  <si>
    <t>Drawbar Mix 2</t>
  </si>
  <si>
    <t>Drawbar Mix 3</t>
  </si>
  <si>
    <t>GM Prg 1</t>
  </si>
  <si>
    <t>GM Hrm 1</t>
  </si>
  <si>
    <t>GM Prg 2</t>
  </si>
  <si>
    <t>GM Harm2</t>
  </si>
  <si>
    <t>GM Harm1</t>
  </si>
  <si>
    <t>Upper GM Synth</t>
  </si>
  <si>
    <t>Lower GM Synth</t>
  </si>
  <si>
    <t>Pedal GM Synth</t>
  </si>
  <si>
    <t>Upper ADSR</t>
  </si>
  <si>
    <t>Lower ADSR</t>
  </si>
  <si>
    <t>Env/Perc 16</t>
  </si>
  <si>
    <t>Env/Perc 5 1/3</t>
  </si>
  <si>
    <t>Env/Perc 8</t>
  </si>
  <si>
    <t>Env/Perc 4</t>
  </si>
  <si>
    <t>Env/Perc 2 2/3</t>
  </si>
  <si>
    <t>Env/Perc 2</t>
  </si>
  <si>
    <t>Env/Perc 1 3/5</t>
  </si>
  <si>
    <t>Env/Perc 1 1/3</t>
  </si>
  <si>
    <t>Env/Perc 1</t>
  </si>
  <si>
    <t>ADSR on 16</t>
  </si>
  <si>
    <t>ADSR on 5 1/3</t>
  </si>
  <si>
    <t>ADSR on 8</t>
  </si>
  <si>
    <t>ADSR on 4</t>
  </si>
  <si>
    <t>ADSR on 2 2/3</t>
  </si>
  <si>
    <t>ADSR on 2</t>
  </si>
  <si>
    <t>ADSR on 1 3/5</t>
  </si>
  <si>
    <t>ADSR on 1 1/3</t>
  </si>
  <si>
    <t>ADSR on 1</t>
  </si>
  <si>
    <t>Attack</t>
  </si>
  <si>
    <t>Decay</t>
  </si>
  <si>
    <t>Sustain</t>
  </si>
  <si>
    <t>Release</t>
  </si>
  <si>
    <t>ADSR Harmonic</t>
  </si>
  <si>
    <t>Env/Perc Mix 1</t>
  </si>
  <si>
    <t>Env/Perc Mix 2</t>
  </si>
  <si>
    <t>Env/Perc Mix 3</t>
  </si>
  <si>
    <t>ADSR on Mix 1</t>
  </si>
  <si>
    <t>ADSR on Mix 2</t>
  </si>
  <si>
    <t>ADSR on Mix 3</t>
  </si>
  <si>
    <t>Pedal ADSR</t>
  </si>
  <si>
    <t>GM Detune 2</t>
  </si>
  <si>
    <t>Horn SlowSpeed</t>
  </si>
  <si>
    <t>Rotr SlowSpeed</t>
  </si>
  <si>
    <t>Horn FastSpeed</t>
  </si>
  <si>
    <t>Rotr FastSpeed</t>
  </si>
  <si>
    <t xml:space="preserve">Horn RampUp   </t>
  </si>
  <si>
    <t xml:space="preserve">Rotor RampUp  </t>
  </si>
  <si>
    <t xml:space="preserve">Horn RampDown </t>
  </si>
  <si>
    <t>Rotor RampDown</t>
  </si>
  <si>
    <t>Treble Level</t>
  </si>
  <si>
    <t>Gating Mode</t>
  </si>
  <si>
    <t>TG WaveSet</t>
  </si>
  <si>
    <t>TG Tapering</t>
  </si>
  <si>
    <t>TG Flutter</t>
  </si>
  <si>
    <t>TG Leakage</t>
  </si>
  <si>
    <t>No DB1 @Perc</t>
  </si>
  <si>
    <t>Perc Long Time</t>
  </si>
  <si>
    <t>Perc Short Time</t>
  </si>
  <si>
    <t>Bypass</t>
  </si>
  <si>
    <t>Bass Level</t>
  </si>
  <si>
    <t>Bass Equ Frq</t>
  </si>
  <si>
    <t>Mid Level</t>
  </si>
  <si>
    <t>Mid Equ Q</t>
  </si>
  <si>
    <t>Bass Equ Q</t>
  </si>
  <si>
    <t>Parametr B/T</t>
  </si>
  <si>
    <t>Treb Equ Q</t>
  </si>
  <si>
    <t>Treb Equ Frq</t>
  </si>
  <si>
    <t>pot</t>
  </si>
  <si>
    <t>halfmoon</t>
  </si>
  <si>
    <t>speaker</t>
  </si>
  <si>
    <t>organ</t>
  </si>
  <si>
    <t>waveset</t>
  </si>
  <si>
    <t>tapering</t>
  </si>
  <si>
    <t>Extd requ'd</t>
  </si>
  <si>
    <t>Cont SpringFlx</t>
  </si>
  <si>
    <t>Cont SpringDmp</t>
  </si>
  <si>
    <t>Percussion</t>
  </si>
  <si>
    <t>vibknob</t>
  </si>
  <si>
    <t>Länge zur Kontrolle</t>
  </si>
  <si>
    <t>gating</t>
  </si>
  <si>
    <t>GM Level 1</t>
  </si>
  <si>
    <t>GM Level 2</t>
  </si>
  <si>
    <t>Perc Norm Level</t>
  </si>
  <si>
    <t>Perc Soft Level</t>
  </si>
  <si>
    <t xml:space="preserve">Reverb 1 Level </t>
  </si>
  <si>
    <t xml:space="preserve">Reverb 2 Level </t>
  </si>
  <si>
    <t xml:space="preserve">Reverb 3 Level </t>
  </si>
  <si>
    <t>Rotary Balance</t>
  </si>
  <si>
    <t>WiFi Mode</t>
  </si>
  <si>
    <t>wifimode</t>
  </si>
  <si>
    <t>saveWifi</t>
  </si>
  <si>
    <t>preset</t>
  </si>
  <si>
    <t>midicc</t>
  </si>
  <si>
    <t>saveUpper</t>
  </si>
  <si>
    <t>saveLower</t>
  </si>
  <si>
    <t>savePedal</t>
  </si>
  <si>
    <t>saveOrgan</t>
  </si>
  <si>
    <t>saveSpeaker</t>
  </si>
  <si>
    <t>saveDefaults</t>
  </si>
  <si>
    <t>enterBootloader</t>
  </si>
  <si>
    <t xml:space="preserve">Preset Name  </t>
  </si>
  <si>
    <t>enterPresetName</t>
  </si>
  <si>
    <t>Organ</t>
  </si>
  <si>
    <t>Speaker</t>
  </si>
  <si>
    <t>Amp Bypass</t>
  </si>
  <si>
    <t>Separate Pedal</t>
  </si>
  <si>
    <t>PHR On Upper</t>
  </si>
  <si>
    <t>PHR On Lower</t>
  </si>
  <si>
    <t>PHR Knob</t>
  </si>
  <si>
    <t>phrknob</t>
  </si>
  <si>
    <t>Drawbar 16H</t>
  </si>
  <si>
    <t>Drawbar 8H</t>
  </si>
  <si>
    <t>Keybd Setup</t>
  </si>
  <si>
    <t>Upper Level</t>
  </si>
  <si>
    <t>Lower Level</t>
  </si>
  <si>
    <t>Pedal Level</t>
  </si>
  <si>
    <t>Perc Level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</si>
</sst>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6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Lucida Console"/>
      <family val="3"/>
    </font>
    <font>
      <sz val="10"/>
      <color rgb="FFFF0000"/>
      <name val="Lucida Console"/>
      <family val="3"/>
    </font>
    <font>
      <sz val="11"/>
      <name val="Calibri"/>
      <family val="2"/>
      <scheme val="minor"/>
    </font>
    <font>
      <b/>
      <sz val="11"/>
      <color rgb="FF00B0F0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1" tint="0.34998626667073579"/>
      <name val="Calibri"/>
      <family val="2"/>
      <scheme val="minor"/>
    </font>
    <font>
      <sz val="11"/>
      <color theme="1" tint="0.34998626667073579"/>
      <name val="Calibri"/>
      <family val="2"/>
      <scheme val="minor"/>
    </font>
    <font>
      <b/>
      <sz val="11"/>
      <color theme="1" tint="0.499984740745262"/>
      <name val="Calibri"/>
      <family val="2"/>
      <scheme val="minor"/>
    </font>
    <font>
      <sz val="10"/>
      <color rgb="FF0070C0"/>
      <name val="Lucida Console"/>
      <family val="3"/>
    </font>
    <font>
      <sz val="9"/>
      <color indexed="81"/>
      <name val="Segoe UI"/>
      <family val="2"/>
    </font>
    <font>
      <b/>
      <sz val="9"/>
      <color indexed="81"/>
      <name val="Segoe UI"/>
      <family val="2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E8F8E9"/>
        <bgColor indexed="64"/>
      </patternFill>
    </fill>
    <fill>
      <patternFill patternType="solid">
        <fgColor rgb="FF66FF66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66FF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0" borderId="0" xfId="0" applyFont="1" applyFill="1" applyAlignment="1">
      <alignment horizontal="left"/>
    </xf>
    <xf numFmtId="0" fontId="2" fillId="0" borderId="0" xfId="0" applyFont="1" applyAlignment="1">
      <alignment horizontal="left"/>
    </xf>
    <xf numFmtId="0" fontId="0" fillId="0" borderId="0" xfId="0" applyFont="1" applyAlignment="1">
      <alignment horizontal="left"/>
    </xf>
    <xf numFmtId="0" fontId="7" fillId="0" borderId="0" xfId="0" applyFont="1" applyFill="1" applyAlignment="1">
      <alignment horizontal="left"/>
    </xf>
    <xf numFmtId="0" fontId="5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0" fontId="5" fillId="0" borderId="0" xfId="0" applyFont="1" applyFill="1" applyAlignment="1">
      <alignment horizontal="left"/>
    </xf>
    <xf numFmtId="0" fontId="3" fillId="2" borderId="0" xfId="0" applyFont="1" applyFill="1" applyAlignment="1">
      <alignment horizontal="left"/>
    </xf>
    <xf numFmtId="0" fontId="3" fillId="4" borderId="0" xfId="0" applyFont="1" applyFill="1" applyAlignment="1">
      <alignment horizontal="left"/>
    </xf>
    <xf numFmtId="0" fontId="5" fillId="4" borderId="0" xfId="0" applyFont="1" applyFill="1" applyAlignment="1">
      <alignment horizontal="left"/>
    </xf>
    <xf numFmtId="0" fontId="8" fillId="7" borderId="0" xfId="0" applyFont="1" applyFill="1" applyAlignment="1">
      <alignment horizontal="left"/>
    </xf>
    <xf numFmtId="0" fontId="5" fillId="0" borderId="0" xfId="0" applyFont="1" applyFill="1" applyAlignment="1">
      <alignment horizontal="left" vertical="center"/>
    </xf>
    <xf numFmtId="0" fontId="6" fillId="0" borderId="0" xfId="0" applyFont="1" applyAlignment="1">
      <alignment horizontal="left" vertical="center"/>
    </xf>
    <xf numFmtId="49" fontId="7" fillId="0" borderId="0" xfId="0" applyNumberFormat="1" applyFont="1" applyFill="1" applyAlignment="1">
      <alignment horizontal="left" vertical="top" wrapText="1"/>
    </xf>
    <xf numFmtId="49" fontId="10" fillId="0" borderId="0" xfId="0" applyNumberFormat="1" applyFont="1" applyFill="1" applyAlignment="1">
      <alignment horizontal="left" vertical="top" wrapText="1"/>
    </xf>
    <xf numFmtId="0" fontId="11" fillId="0" borderId="0" xfId="0" applyFont="1" applyFill="1" applyAlignment="1">
      <alignment horizontal="left"/>
    </xf>
    <xf numFmtId="0" fontId="6" fillId="0" borderId="0" xfId="0" applyFont="1" applyFill="1" applyAlignment="1">
      <alignment horizontal="left"/>
    </xf>
    <xf numFmtId="0" fontId="1" fillId="0" borderId="0" xfId="0" applyFont="1" applyFill="1" applyAlignment="1">
      <alignment horizontal="left"/>
    </xf>
    <xf numFmtId="0" fontId="9" fillId="0" borderId="0" xfId="0" applyFont="1" applyFill="1" applyAlignment="1">
      <alignment horizontal="left"/>
    </xf>
    <xf numFmtId="0" fontId="10" fillId="0" borderId="0" xfId="0" applyFont="1" applyFill="1" applyAlignment="1">
      <alignment horizontal="left"/>
    </xf>
    <xf numFmtId="49" fontId="7" fillId="6" borderId="0" xfId="0" applyNumberFormat="1" applyFont="1" applyFill="1" applyAlignment="1">
      <alignment horizontal="left" vertical="top" wrapText="1"/>
    </xf>
    <xf numFmtId="49" fontId="12" fillId="7" borderId="0" xfId="0" applyNumberFormat="1" applyFont="1" applyFill="1" applyAlignment="1">
      <alignment horizontal="left" vertical="top" wrapText="1"/>
    </xf>
    <xf numFmtId="49" fontId="7" fillId="2" borderId="0" xfId="0" applyNumberFormat="1" applyFont="1" applyFill="1" applyAlignment="1">
      <alignment horizontal="left" vertical="top" wrapText="1"/>
    </xf>
    <xf numFmtId="0" fontId="1" fillId="0" borderId="0" xfId="0" applyFont="1" applyAlignment="1">
      <alignment horizontal="left" wrapText="1"/>
    </xf>
    <xf numFmtId="49" fontId="0" fillId="0" borderId="0" xfId="0" applyNumberFormat="1" applyFont="1" applyAlignment="1">
      <alignment horizontal="left" vertical="top" wrapText="1"/>
    </xf>
    <xf numFmtId="0" fontId="3" fillId="10" borderId="0" xfId="0" applyFont="1" applyFill="1" applyAlignment="1">
      <alignment horizontal="left"/>
    </xf>
    <xf numFmtId="0" fontId="3" fillId="9" borderId="0" xfId="0" applyFont="1" applyFill="1" applyAlignment="1">
      <alignment horizontal="left"/>
    </xf>
    <xf numFmtId="0" fontId="3" fillId="5" borderId="0" xfId="0" applyFont="1" applyFill="1" applyAlignment="1">
      <alignment horizontal="left"/>
    </xf>
    <xf numFmtId="0" fontId="3" fillId="8" borderId="0" xfId="0" applyFont="1" applyFill="1" applyAlignment="1">
      <alignment horizontal="left"/>
    </xf>
    <xf numFmtId="0" fontId="3" fillId="3" borderId="0" xfId="0" applyFont="1" applyFill="1" applyAlignment="1">
      <alignment horizontal="left"/>
    </xf>
    <xf numFmtId="0" fontId="3" fillId="13" borderId="0" xfId="0" applyFont="1" applyFill="1" applyAlignment="1">
      <alignment horizontal="left"/>
    </xf>
    <xf numFmtId="0" fontId="3" fillId="14" borderId="0" xfId="0" applyFont="1" applyFill="1" applyAlignment="1">
      <alignment horizontal="left"/>
    </xf>
    <xf numFmtId="0" fontId="3" fillId="15" borderId="0" xfId="0" applyFont="1" applyFill="1" applyAlignment="1">
      <alignment horizontal="left"/>
    </xf>
    <xf numFmtId="0" fontId="3" fillId="11" borderId="0" xfId="0" applyFont="1" applyFill="1" applyAlignment="1">
      <alignment horizontal="left"/>
    </xf>
    <xf numFmtId="0" fontId="3" fillId="12" borderId="0" xfId="0" applyFont="1" applyFill="1" applyAlignment="1">
      <alignment horizontal="left"/>
    </xf>
    <xf numFmtId="0" fontId="3" fillId="16" borderId="0" xfId="0" applyFont="1" applyFill="1" applyAlignment="1">
      <alignment horizontal="left"/>
    </xf>
    <xf numFmtId="0" fontId="13" fillId="4" borderId="0" xfId="0" applyFont="1" applyFill="1" applyAlignment="1">
      <alignment horizontal="left"/>
    </xf>
    <xf numFmtId="0" fontId="13" fillId="5" borderId="0" xfId="0" applyFont="1" applyFill="1" applyAlignment="1">
      <alignment horizontal="left"/>
    </xf>
    <xf numFmtId="0" fontId="13" fillId="3" borderId="0" xfId="0" applyFont="1" applyFill="1" applyAlignment="1">
      <alignment horizontal="left"/>
    </xf>
    <xf numFmtId="0" fontId="4" fillId="3" borderId="0" xfId="0" applyFont="1" applyFill="1" applyAlignment="1">
      <alignment horizontal="left"/>
    </xf>
    <xf numFmtId="0" fontId="4" fillId="4" borderId="0" xfId="0" applyFont="1" applyFill="1" applyAlignment="1">
      <alignment horizontal="left"/>
    </xf>
    <xf numFmtId="0" fontId="4" fillId="5" borderId="0" xfId="0" applyFont="1" applyFill="1" applyAlignment="1">
      <alignment horizontal="left"/>
    </xf>
    <xf numFmtId="0" fontId="12" fillId="0" borderId="0" xfId="0" applyFont="1" applyFill="1" applyAlignment="1">
      <alignment horizontal="left"/>
    </xf>
    <xf numFmtId="49" fontId="9" fillId="0" borderId="0" xfId="0" applyNumberFormat="1" applyFont="1" applyFill="1" applyAlignment="1">
      <alignment horizontal="left" vertical="top" wrapText="1"/>
    </xf>
    <xf numFmtId="0" fontId="3" fillId="17" borderId="0" xfId="0" applyFont="1" applyFill="1" applyAlignment="1">
      <alignment horizontal="left"/>
    </xf>
  </cellXfs>
  <cellStyles count="1">
    <cellStyle name="Standard" xfId="0" builtinId="0"/>
  </cellStyles>
  <dxfs count="0"/>
  <tableStyles count="0" defaultTableStyle="TableStyleMedium2" defaultPivotStyle="PivotStyleLight16"/>
  <colors>
    <mruColors>
      <color rgb="FFFF99FF"/>
      <color rgb="FF66FFFF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P206"/>
  <sheetViews>
    <sheetView tabSelected="1" zoomScaleNormal="100" workbookViewId="0">
      <selection activeCell="P12" sqref="P12"/>
    </sheetView>
  </sheetViews>
  <sheetFormatPr baseColWidth="10" defaultRowHeight="15" x14ac:dyDescent="0.25"/>
  <cols>
    <col min="1" max="1" width="7.140625" style="20" customWidth="1"/>
    <col min="2" max="2" width="16.7109375" style="7" customWidth="1"/>
    <col min="3" max="4" width="9.7109375" style="7" customWidth="1"/>
    <col min="5" max="5" width="11.85546875" style="7" customWidth="1"/>
    <col min="6" max="8" width="7.140625" style="7" customWidth="1"/>
    <col min="9" max="9" width="9" style="7" customWidth="1"/>
    <col min="10" max="11" width="13.7109375" style="5" customWidth="1"/>
    <col min="12" max="12" width="21.28515625" style="7" customWidth="1"/>
    <col min="13" max="13" width="12.85546875" style="1" customWidth="1"/>
    <col min="14" max="14" width="13.140625" style="1" customWidth="1"/>
    <col min="15" max="15" width="94.28515625" style="7" customWidth="1"/>
    <col min="16" max="16" width="32.140625" style="3" customWidth="1"/>
    <col min="17" max="16384" width="11.42578125" style="3"/>
  </cols>
  <sheetData>
    <row r="1" spans="1:16" s="25" customFormat="1" ht="33" customHeight="1" x14ac:dyDescent="0.25">
      <c r="A1" s="15" t="s">
        <v>0</v>
      </c>
      <c r="B1" s="14" t="s">
        <v>5</v>
      </c>
      <c r="C1" s="14" t="s">
        <v>50</v>
      </c>
      <c r="D1" s="14" t="s">
        <v>51</v>
      </c>
      <c r="E1" s="44" t="s">
        <v>157</v>
      </c>
      <c r="F1" s="14" t="s">
        <v>3</v>
      </c>
      <c r="G1" s="14" t="s">
        <v>4</v>
      </c>
      <c r="H1" s="14" t="s">
        <v>152</v>
      </c>
      <c r="I1" s="14" t="s">
        <v>48</v>
      </c>
      <c r="J1" s="21" t="s">
        <v>47</v>
      </c>
      <c r="K1" s="21" t="s">
        <v>49</v>
      </c>
      <c r="L1" s="22" t="s">
        <v>10</v>
      </c>
      <c r="M1" s="22" t="s">
        <v>15</v>
      </c>
      <c r="N1" s="22" t="s">
        <v>25</v>
      </c>
      <c r="O1" s="23" t="s">
        <v>9</v>
      </c>
      <c r="P1" s="24"/>
    </row>
    <row r="2" spans="1:16" x14ac:dyDescent="0.25">
      <c r="A2" s="16">
        <v>0</v>
      </c>
      <c r="B2" s="27" t="s">
        <v>22</v>
      </c>
      <c r="C2" s="17">
        <f>A201</f>
        <v>199</v>
      </c>
      <c r="D2" s="17">
        <f>A205</f>
        <v>203</v>
      </c>
      <c r="E2" s="43">
        <f>D2-C2+1</f>
        <v>5</v>
      </c>
      <c r="F2" s="7">
        <v>0</v>
      </c>
      <c r="G2" s="7">
        <v>99</v>
      </c>
      <c r="H2" s="7">
        <v>0</v>
      </c>
      <c r="I2" s="7">
        <v>268</v>
      </c>
      <c r="J2" s="7" t="s">
        <v>170</v>
      </c>
      <c r="K2" s="7" t="s">
        <v>29</v>
      </c>
      <c r="L2" s="11" t="str">
        <f>CONCATENATE("""",B2,""", ")</f>
        <v xml:space="preserve">"Preset", </v>
      </c>
      <c r="M2" s="11" t="str">
        <f>IF(K2="NULL",CONCATENATE(K2,", "),CONCATENATE("&amp;",K2,", "))</f>
        <v xml:space="preserve">&amp;savePreset, </v>
      </c>
      <c r="N2" s="11" t="str">
        <f>IF(J2="NULL",CONCATENATE(J2,", "),CONCATENATE("tm_",J2,", "))</f>
        <v xml:space="preserve">tm_preset, </v>
      </c>
      <c r="O2" s="10" t="str">
        <f>CONCATENATE("  {",L2,C2,", ",D2,", ",I2,", ",M2,N2,F2,", ",G2,", ",H2,"},  // Idx ", A2)</f>
        <v xml:space="preserve">  {"Preset", 199, 203, 268, &amp;savePreset, tm_preset, 0, 99, 0},  // Idx 0</v>
      </c>
      <c r="P2" s="6"/>
    </row>
    <row r="3" spans="1:16" x14ac:dyDescent="0.25">
      <c r="A3" s="16">
        <f t="shared" ref="A3:A62" si="0">A2+1</f>
        <v>1</v>
      </c>
      <c r="B3" s="30" t="s">
        <v>12</v>
      </c>
      <c r="C3" s="17">
        <f>A27</f>
        <v>25</v>
      </c>
      <c r="D3" s="17">
        <f>A38</f>
        <v>36</v>
      </c>
      <c r="E3" s="43">
        <f t="shared" ref="E3:E20" si="1">D3-C3+1</f>
        <v>12</v>
      </c>
      <c r="F3" s="3">
        <v>0</v>
      </c>
      <c r="G3" s="7">
        <v>15</v>
      </c>
      <c r="H3" s="7">
        <v>0</v>
      </c>
      <c r="I3" s="7">
        <v>269</v>
      </c>
      <c r="J3" s="7" t="s">
        <v>26</v>
      </c>
      <c r="K3" s="7" t="s">
        <v>172</v>
      </c>
      <c r="L3" s="11" t="str">
        <f>CONCATENATE("""",B3,""", ")</f>
        <v xml:space="preserve">"Upper Voice", </v>
      </c>
      <c r="M3" s="11" t="str">
        <f>IF(K3="NULL",CONCATENATE(K3,", "),CONCATENATE("&amp;",K3,", "))</f>
        <v xml:space="preserve">&amp;saveUpper, </v>
      </c>
      <c r="N3" s="11" t="str">
        <f>IF(J3="NULL",CONCATENATE(J3,", "),CONCATENATE("tm_",J3,", "))</f>
        <v xml:space="preserve">tm_numeric, </v>
      </c>
      <c r="O3" s="10" t="str">
        <f>CONCATENATE("  {",L3,C3,", ",D3,", ",I3,", ",M3,N3,F3,", ",G3,", ",H3,"},  // Idx ", A3)</f>
        <v xml:space="preserve">  {"Upper Voice", 25, 36, 269, &amp;saveUpper, tm_numeric, 0, 15, 0},  // Idx 1</v>
      </c>
      <c r="P3" s="6"/>
    </row>
    <row r="4" spans="1:16" x14ac:dyDescent="0.25">
      <c r="A4" s="16">
        <f t="shared" si="0"/>
        <v>2</v>
      </c>
      <c r="B4" s="9" t="s">
        <v>13</v>
      </c>
      <c r="C4" s="17">
        <f>A75</f>
        <v>73</v>
      </c>
      <c r="D4" s="17">
        <f>A86</f>
        <v>84</v>
      </c>
      <c r="E4" s="43">
        <f>D4-C4+1</f>
        <v>12</v>
      </c>
      <c r="F4" s="3">
        <v>0</v>
      </c>
      <c r="G4" s="7">
        <v>15</v>
      </c>
      <c r="H4" s="7">
        <v>0</v>
      </c>
      <c r="I4" s="7">
        <v>270</v>
      </c>
      <c r="J4" s="7" t="s">
        <v>26</v>
      </c>
      <c r="K4" s="7" t="s">
        <v>173</v>
      </c>
      <c r="L4" s="11" t="str">
        <f>CONCATENATE("""",B4,""", ")</f>
        <v xml:space="preserve">"Lower Voice", </v>
      </c>
      <c r="M4" s="11" t="str">
        <f>IF(K4="NULL",CONCATENATE(K4,", "),CONCATENATE("&amp;",K4,", "))</f>
        <v xml:space="preserve">&amp;saveLower, </v>
      </c>
      <c r="N4" s="11" t="str">
        <f>IF(J4="NULL",CONCATENATE(J4,", "),CONCATENATE("tm_",J4,", "))</f>
        <v xml:space="preserve">tm_numeric, </v>
      </c>
      <c r="O4" s="10" t="str">
        <f>CONCATENATE("  {",L4,C4,", ",D4,", ",I4,", ",M4,N4,F4,", ",G4,", ",H4,"},  // Idx ", A4)</f>
        <v xml:space="preserve">  {"Lower Voice", 73, 84, 270, &amp;saveLower, tm_numeric, 0, 15, 0},  // Idx 2</v>
      </c>
      <c r="P4" s="6"/>
    </row>
    <row r="5" spans="1:16" x14ac:dyDescent="0.25">
      <c r="A5" s="16">
        <f t="shared" si="0"/>
        <v>3</v>
      </c>
      <c r="B5" s="28" t="s">
        <v>14</v>
      </c>
      <c r="C5" s="17">
        <f>A111</f>
        <v>109</v>
      </c>
      <c r="D5" s="17">
        <f>A115</f>
        <v>113</v>
      </c>
      <c r="E5" s="43">
        <f>D5-C5+1</f>
        <v>5</v>
      </c>
      <c r="F5" s="3">
        <v>0</v>
      </c>
      <c r="G5" s="7">
        <v>15</v>
      </c>
      <c r="H5" s="7">
        <v>0</v>
      </c>
      <c r="I5" s="7">
        <v>271</v>
      </c>
      <c r="J5" s="7" t="s">
        <v>26</v>
      </c>
      <c r="K5" s="7" t="s">
        <v>174</v>
      </c>
      <c r="L5" s="11" t="str">
        <f>CONCATENATE("""",B5,""", ")</f>
        <v xml:space="preserve">"Pedal Voice", </v>
      </c>
      <c r="M5" s="11" t="str">
        <f>IF(K5="NULL",CONCATENATE(K5,", "),CONCATENATE("&amp;",K5,", "))</f>
        <v xml:space="preserve">&amp;savePedal, </v>
      </c>
      <c r="N5" s="11" t="str">
        <f>IF(J5="NULL",CONCATENATE(J5,", "),CONCATENATE("tm_",J5,", "))</f>
        <v xml:space="preserve">tm_numeric, </v>
      </c>
      <c r="O5" s="10" t="str">
        <f>CONCATENATE("  {",L5,C5,", ",D5,", ",I5,", ",M5,N5,F5,", ",G5,", ",H5,"},  // Idx ", A5)</f>
        <v xml:space="preserve">  {"Pedal Voice", 109, 113, 271, &amp;savePedal, tm_numeric, 0, 15, 0},  // Idx 3</v>
      </c>
      <c r="P5" s="6"/>
    </row>
    <row r="6" spans="1:16" x14ac:dyDescent="0.25">
      <c r="A6" s="16">
        <f t="shared" si="0"/>
        <v>4</v>
      </c>
      <c r="B6" s="29" t="s">
        <v>23</v>
      </c>
      <c r="C6" s="17">
        <f>A128</f>
        <v>126</v>
      </c>
      <c r="D6" s="17">
        <f>A139</f>
        <v>137</v>
      </c>
      <c r="E6" s="43">
        <f>D6-C6+1</f>
        <v>12</v>
      </c>
      <c r="F6" s="7">
        <v>-1</v>
      </c>
      <c r="G6" s="18">
        <v>-1</v>
      </c>
      <c r="H6" s="7">
        <v>0</v>
      </c>
      <c r="I6" s="18">
        <v>-1</v>
      </c>
      <c r="J6" s="18" t="s">
        <v>24</v>
      </c>
      <c r="K6" s="7" t="s">
        <v>8</v>
      </c>
      <c r="L6" s="11" t="str">
        <f>CONCATENATE("""",B6,""", ")</f>
        <v xml:space="preserve">"Tabs", </v>
      </c>
      <c r="M6" s="11" t="str">
        <f>IF(K6="NULL",CONCATENATE(K6,", "),CONCATENATE("&amp;",K6,", "))</f>
        <v xml:space="preserve">NULL, </v>
      </c>
      <c r="N6" s="11" t="str">
        <f>IF(J6="NULL",CONCATENATE(J6,", "),CONCATENATE("tm_",J6,", "))</f>
        <v xml:space="preserve">tm_none, </v>
      </c>
      <c r="O6" s="10" t="str">
        <f>CONCATENATE("  {",L6,C6,", ",D6,", ",I6,", ",M6,N6,F6,", ",G6,", ",H6,"},  // Idx ", A6)</f>
        <v xml:space="preserve">  {"Tabs", 126, 137, -1, NULL, tm_none, -1, -1, 0},  // Idx 4</v>
      </c>
      <c r="P6" s="6"/>
    </row>
    <row r="7" spans="1:16" x14ac:dyDescent="0.25">
      <c r="A7" s="16">
        <f t="shared" si="0"/>
        <v>5</v>
      </c>
      <c r="B7" s="8" t="s">
        <v>42</v>
      </c>
      <c r="C7" s="13">
        <f>A23</f>
        <v>21</v>
      </c>
      <c r="D7" s="13">
        <f>A25</f>
        <v>23</v>
      </c>
      <c r="E7" s="43">
        <f t="shared" si="1"/>
        <v>3</v>
      </c>
      <c r="F7" s="3">
        <v>0</v>
      </c>
      <c r="G7" s="3">
        <v>2</v>
      </c>
      <c r="H7" s="7">
        <v>0</v>
      </c>
      <c r="I7" s="7">
        <v>256</v>
      </c>
      <c r="J7" s="7" t="s">
        <v>147</v>
      </c>
      <c r="K7" s="7" t="s">
        <v>8</v>
      </c>
      <c r="L7" s="11" t="str">
        <f>CONCATENATE("""",B7,""", ")</f>
        <v xml:space="preserve">"Rotary Speed", </v>
      </c>
      <c r="M7" s="11" t="str">
        <f>IF(K7="NULL",CONCATENATE(K7,", "),CONCATENATE("&amp;",K7,", "))</f>
        <v xml:space="preserve">NULL, </v>
      </c>
      <c r="N7" s="11" t="str">
        <f>IF(J7="NULL",CONCATENATE(J7,", "),CONCATENATE("tm_",J7,", "))</f>
        <v xml:space="preserve">tm_halfmoon, </v>
      </c>
      <c r="O7" s="10" t="str">
        <f>CONCATENATE("  {",L7,C7,", ",D7,", ",I7,", ",M7,N7,F7,", ",G7,", ",H7,"},  // Idx ", A7)</f>
        <v xml:space="preserve">  {"Rotary Speed", 21, 23, 256, NULL, tm_halfmoon, 0, 2, 0},  // Idx 5</v>
      </c>
      <c r="P7" s="6"/>
    </row>
    <row r="8" spans="1:16" x14ac:dyDescent="0.25">
      <c r="A8" s="16">
        <f t="shared" si="0"/>
        <v>6</v>
      </c>
      <c r="B8" s="26" t="s">
        <v>6</v>
      </c>
      <c r="C8" s="13">
        <f>A21</f>
        <v>19</v>
      </c>
      <c r="D8" s="13">
        <f>A22</f>
        <v>20</v>
      </c>
      <c r="E8" s="43">
        <f t="shared" si="1"/>
        <v>2</v>
      </c>
      <c r="F8" s="3">
        <v>0</v>
      </c>
      <c r="G8" s="3">
        <v>127</v>
      </c>
      <c r="H8" s="7">
        <v>0</v>
      </c>
      <c r="I8" s="5">
        <v>80</v>
      </c>
      <c r="J8" s="7" t="s">
        <v>146</v>
      </c>
      <c r="K8" s="7" t="s">
        <v>8</v>
      </c>
      <c r="L8" s="11" t="str">
        <f>CONCATENATE("""",B8,""", ")</f>
        <v xml:space="preserve">"Master Volume", </v>
      </c>
      <c r="M8" s="11" t="str">
        <f>IF(K8="NULL",CONCATENATE(K8,", "),CONCATENATE("&amp;",K8,", "))</f>
        <v xml:space="preserve">NULL, </v>
      </c>
      <c r="N8" s="11" t="str">
        <f>IF(J8="NULL",CONCATENATE(J8,", "),CONCATENATE("tm_",J8,", "))</f>
        <v xml:space="preserve">tm_pot, </v>
      </c>
      <c r="O8" s="10" t="str">
        <f>CONCATENATE("  {",L8,C8,", ",D8,", ",I8,", ",M8,N8,F8,", ",G8,", ",H8,"},  // Idx ", A8)</f>
        <v xml:space="preserve">  {"Master Volume", 19, 20, 80, NULL, tm_pot, 0, 127, 0},  // Idx 6</v>
      </c>
      <c r="P8" s="6"/>
    </row>
    <row r="9" spans="1:16" x14ac:dyDescent="0.25">
      <c r="A9" s="16">
        <f t="shared" si="0"/>
        <v>7</v>
      </c>
      <c r="B9" s="45" t="s">
        <v>7</v>
      </c>
      <c r="C9" s="13">
        <f>A26</f>
        <v>24</v>
      </c>
      <c r="D9" s="13">
        <f>A26</f>
        <v>24</v>
      </c>
      <c r="E9" s="43">
        <f t="shared" si="1"/>
        <v>1</v>
      </c>
      <c r="F9" s="3">
        <v>0</v>
      </c>
      <c r="G9" s="3">
        <v>127</v>
      </c>
      <c r="H9" s="7">
        <v>0</v>
      </c>
      <c r="I9" s="5">
        <v>81</v>
      </c>
      <c r="J9" s="7" t="s">
        <v>146</v>
      </c>
      <c r="K9" s="7" t="s">
        <v>8</v>
      </c>
      <c r="L9" s="11" t="str">
        <f>CONCATENATE("""",B9,""", ")</f>
        <v xml:space="preserve">"Amp Gain", </v>
      </c>
      <c r="M9" s="11" t="str">
        <f>IF(K9="NULL",CONCATENATE(K9,", "),CONCATENATE("&amp;",K9,", "))</f>
        <v xml:space="preserve">NULL, </v>
      </c>
      <c r="N9" s="11" t="str">
        <f>IF(J9="NULL",CONCATENATE(J9,", "),CONCATENATE("tm_",J9,", "))</f>
        <v xml:space="preserve">tm_pot, </v>
      </c>
      <c r="O9" s="10" t="str">
        <f>CONCATENATE("  {",L9,C9,", ",D9,", ",I9,", ",M9,N9,F9,", ",G9,", ",H9,"},  // Idx ", A9)</f>
        <v xml:space="preserve">  {"Amp Gain", 24, 24, 81, NULL, tm_pot, 0, 127, 0},  // Idx 7</v>
      </c>
      <c r="P9" s="6"/>
    </row>
    <row r="10" spans="1:16" x14ac:dyDescent="0.25">
      <c r="A10" s="16">
        <f>A11+1</f>
        <v>15</v>
      </c>
      <c r="B10" s="36" t="s">
        <v>44</v>
      </c>
      <c r="C10" s="13">
        <f>A162</f>
        <v>160</v>
      </c>
      <c r="D10" s="13">
        <f>A164</f>
        <v>162</v>
      </c>
      <c r="E10" s="43">
        <f>D10-C10+1</f>
        <v>3</v>
      </c>
      <c r="F10" s="3">
        <v>0</v>
      </c>
      <c r="G10" s="3">
        <v>3</v>
      </c>
      <c r="H10" s="7">
        <v>0</v>
      </c>
      <c r="I10" s="5">
        <v>263</v>
      </c>
      <c r="J10" s="7" t="s">
        <v>26</v>
      </c>
      <c r="K10" s="7" t="s">
        <v>8</v>
      </c>
      <c r="L10" s="11" t="str">
        <f>CONCATENATE("""",B10,""", ")</f>
        <v xml:space="preserve">"Reverb Prgm", </v>
      </c>
      <c r="M10" s="11" t="str">
        <f>IF(K10="NULL",CONCATENATE(K10,", "),CONCATENATE("&amp;",K10,", "))</f>
        <v xml:space="preserve">NULL, </v>
      </c>
      <c r="N10" s="11" t="str">
        <f>IF(J10="NULL",CONCATENATE(J10,", "),CONCATENATE("tm_",J10,", "))</f>
        <v xml:space="preserve">tm_numeric, </v>
      </c>
      <c r="O10" s="10" t="str">
        <f>CONCATENATE("  {",L10,C10,", ",D10,", ",I10,", ",M10,N10,F10,", ",G10,", ",H10,"},  // Idx ", A10)</f>
        <v xml:space="preserve">  {"Reverb Prgm", 160, 162, 263, NULL, tm_numeric, 0, 3, 0},  // Idx 15</v>
      </c>
      <c r="P10" s="6"/>
    </row>
    <row r="11" spans="1:16" x14ac:dyDescent="0.25">
      <c r="A11" s="16">
        <f>A17+1</f>
        <v>14</v>
      </c>
      <c r="B11" s="33" t="s">
        <v>53</v>
      </c>
      <c r="C11" s="17">
        <f>A165</f>
        <v>163</v>
      </c>
      <c r="D11" s="17">
        <f>A175</f>
        <v>173</v>
      </c>
      <c r="E11" s="43">
        <f>D11-C11+1</f>
        <v>11</v>
      </c>
      <c r="F11" s="7">
        <v>-1</v>
      </c>
      <c r="G11" s="18">
        <v>-1</v>
      </c>
      <c r="H11" s="7">
        <v>0</v>
      </c>
      <c r="I11" s="18">
        <v>-1</v>
      </c>
      <c r="J11" s="18" t="s">
        <v>24</v>
      </c>
      <c r="K11" s="18" t="s">
        <v>8</v>
      </c>
      <c r="L11" s="11" t="str">
        <f>CONCATENATE("""",B11,""", ")</f>
        <v xml:space="preserve">"Equalizer", </v>
      </c>
      <c r="M11" s="11" t="str">
        <f>IF(K11="NULL",CONCATENATE(K11,", "),CONCATENATE("&amp;",K11,", "))</f>
        <v xml:space="preserve">NULL, </v>
      </c>
      <c r="N11" s="11" t="str">
        <f>IF(J11="NULL",CONCATENATE(J11,", "),CONCATENATE("tm_",J11,", "))</f>
        <v xml:space="preserve">tm_none, </v>
      </c>
      <c r="O11" s="10" t="str">
        <f>CONCATENATE("  {",L11,C11,", ",D11,", ",I11,", ",M11,N11,F11,", ",G11,", ",H11,"},  // Idx ", A11)</f>
        <v xml:space="preserve">  {"Equalizer", 163, 173, -1, NULL, tm_none, -1, -1, 0},  // Idx 14</v>
      </c>
      <c r="P11" s="6"/>
    </row>
    <row r="12" spans="1:16" x14ac:dyDescent="0.25">
      <c r="A12" s="16">
        <f>A9+1</f>
        <v>8</v>
      </c>
      <c r="B12" s="30" t="s">
        <v>87</v>
      </c>
      <c r="C12" s="17">
        <f>A46</f>
        <v>44</v>
      </c>
      <c r="D12" s="17">
        <f>A74</f>
        <v>72</v>
      </c>
      <c r="E12" s="43">
        <f>D12-C12+1</f>
        <v>29</v>
      </c>
      <c r="F12" s="7">
        <v>-1</v>
      </c>
      <c r="G12" s="18">
        <v>-1</v>
      </c>
      <c r="H12" s="7">
        <v>1</v>
      </c>
      <c r="I12" s="18">
        <v>-1</v>
      </c>
      <c r="J12" s="18" t="s">
        <v>24</v>
      </c>
      <c r="K12" s="7" t="s">
        <v>8</v>
      </c>
      <c r="L12" s="11" t="str">
        <f t="shared" ref="L12:L17" si="2">CONCATENATE("""",B12,""", ")</f>
        <v xml:space="preserve">"Upper ADSR", </v>
      </c>
      <c r="M12" s="11" t="str">
        <f t="shared" ref="M12:M17" si="3">IF(K12="NULL",CONCATENATE(K12,", "),CONCATENATE("&amp;",K12,", "))</f>
        <v xml:space="preserve">NULL, </v>
      </c>
      <c r="N12" s="11" t="str">
        <f>IF(J12="NULL",CONCATENATE(J12,", "),CONCATENATE("tm_",J12,", "))</f>
        <v xml:space="preserve">tm_none, </v>
      </c>
      <c r="O12" s="10" t="str">
        <f>CONCATENATE("  {",L12,C12,", ",D12,", ",I12,", ",M12,N12,F12,", ",G12,", ",H12,"},  // Idx ", A12)</f>
        <v xml:space="preserve">  {"Upper ADSR", 44, 72, -1, NULL, tm_none, -1, -1, 1},  // Idx 8</v>
      </c>
      <c r="P12" s="6"/>
    </row>
    <row r="13" spans="1:16" x14ac:dyDescent="0.25">
      <c r="A13" s="16">
        <f t="shared" si="0"/>
        <v>9</v>
      </c>
      <c r="B13" s="30" t="s">
        <v>84</v>
      </c>
      <c r="C13" s="17">
        <f>A39</f>
        <v>37</v>
      </c>
      <c r="D13" s="17">
        <f>A45</f>
        <v>43</v>
      </c>
      <c r="E13" s="43">
        <f>D13-C13+1</f>
        <v>7</v>
      </c>
      <c r="F13" s="7">
        <v>-1</v>
      </c>
      <c r="G13" s="18">
        <v>-1</v>
      </c>
      <c r="H13" s="7">
        <v>0</v>
      </c>
      <c r="I13" s="18">
        <v>-1</v>
      </c>
      <c r="J13" s="18" t="s">
        <v>24</v>
      </c>
      <c r="K13" s="7" t="s">
        <v>8</v>
      </c>
      <c r="L13" s="11" t="str">
        <f t="shared" si="2"/>
        <v xml:space="preserve">"Upper GM Synth", </v>
      </c>
      <c r="M13" s="11" t="str">
        <f t="shared" si="3"/>
        <v xml:space="preserve">NULL, </v>
      </c>
      <c r="N13" s="11" t="str">
        <f>IF(J13="NULL",CONCATENATE(J13,", "),CONCATENATE("tm_",J13,", "))</f>
        <v xml:space="preserve">tm_none, </v>
      </c>
      <c r="O13" s="10" t="str">
        <f>CONCATENATE("  {",L13,C13,", ",D13,", ",I13,", ",M13,N13,F13,", ",G13,", ",H13,"},  // Idx ", A13)</f>
        <v xml:space="preserve">  {"Upper GM Synth", 37, 43, -1, NULL, tm_none, -1, -1, 0},  // Idx 9</v>
      </c>
      <c r="P13" s="6"/>
    </row>
    <row r="14" spans="1:16" x14ac:dyDescent="0.25">
      <c r="A14" s="16">
        <f t="shared" si="0"/>
        <v>10</v>
      </c>
      <c r="B14" s="9" t="s">
        <v>88</v>
      </c>
      <c r="C14" s="17">
        <f>A94</f>
        <v>92</v>
      </c>
      <c r="D14" s="17">
        <f>A110</f>
        <v>108</v>
      </c>
      <c r="E14" s="43">
        <f>D14-C14+1</f>
        <v>17</v>
      </c>
      <c r="F14" s="7">
        <v>-1</v>
      </c>
      <c r="G14" s="18">
        <v>-1</v>
      </c>
      <c r="H14" s="7">
        <v>1</v>
      </c>
      <c r="I14" s="18">
        <v>-1</v>
      </c>
      <c r="J14" s="18" t="s">
        <v>24</v>
      </c>
      <c r="K14" s="7" t="s">
        <v>8</v>
      </c>
      <c r="L14" s="11" t="str">
        <f t="shared" si="2"/>
        <v xml:space="preserve">"Lower ADSR", </v>
      </c>
      <c r="M14" s="11" t="str">
        <f t="shared" si="3"/>
        <v xml:space="preserve">NULL, </v>
      </c>
      <c r="N14" s="11" t="str">
        <f>IF(J14="NULL",CONCATENATE(J14,", "),CONCATENATE("tm_",J14,", "))</f>
        <v xml:space="preserve">tm_none, </v>
      </c>
      <c r="O14" s="10" t="str">
        <f>CONCATENATE("  {",L14,C14,", ",D14,", ",I14,", ",M14,N14,F14,", ",G14,", ",H14,"},  // Idx ", A14)</f>
        <v xml:space="preserve">  {"Lower ADSR", 92, 108, -1, NULL, tm_none, -1, -1, 1},  // Idx 10</v>
      </c>
      <c r="P14" s="6"/>
    </row>
    <row r="15" spans="1:16" x14ac:dyDescent="0.25">
      <c r="A15" s="16">
        <f t="shared" si="0"/>
        <v>11</v>
      </c>
      <c r="B15" s="9" t="s">
        <v>85</v>
      </c>
      <c r="C15" s="17">
        <f>A87</f>
        <v>85</v>
      </c>
      <c r="D15" s="17">
        <f>A93</f>
        <v>91</v>
      </c>
      <c r="E15" s="43">
        <f>D15-C15+1</f>
        <v>7</v>
      </c>
      <c r="F15" s="7">
        <v>-1</v>
      </c>
      <c r="G15" s="18">
        <v>-1</v>
      </c>
      <c r="H15" s="7">
        <v>0</v>
      </c>
      <c r="I15" s="18">
        <v>-1</v>
      </c>
      <c r="J15" s="18" t="s">
        <v>24</v>
      </c>
      <c r="K15" s="7" t="s">
        <v>8</v>
      </c>
      <c r="L15" s="11" t="str">
        <f t="shared" si="2"/>
        <v xml:space="preserve">"Lower GM Synth", </v>
      </c>
      <c r="M15" s="11" t="str">
        <f t="shared" si="3"/>
        <v xml:space="preserve">NULL, </v>
      </c>
      <c r="N15" s="11" t="str">
        <f>IF(J15="NULL",CONCATENATE(J15,", "),CONCATENATE("tm_",J15,", "))</f>
        <v xml:space="preserve">tm_none, </v>
      </c>
      <c r="O15" s="10" t="str">
        <f>CONCATENATE("  {",L15,C15,", ",D15,", ",I15,", ",M15,N15,F15,", ",G15,", ",H15,"},  // Idx ", A15)</f>
        <v xml:space="preserve">  {"Lower GM Synth", 85, 91, -1, NULL, tm_none, -1, -1, 0},  // Idx 11</v>
      </c>
      <c r="P15" s="6"/>
    </row>
    <row r="16" spans="1:16" x14ac:dyDescent="0.25">
      <c r="A16" s="16">
        <f t="shared" si="0"/>
        <v>12</v>
      </c>
      <c r="B16" s="28" t="s">
        <v>118</v>
      </c>
      <c r="C16" s="17">
        <f>A123</f>
        <v>121</v>
      </c>
      <c r="D16" s="17">
        <f>A127</f>
        <v>125</v>
      </c>
      <c r="E16" s="43">
        <f>D16-C16+1</f>
        <v>5</v>
      </c>
      <c r="F16" s="7">
        <v>-1</v>
      </c>
      <c r="G16" s="18">
        <v>-1</v>
      </c>
      <c r="H16" s="7">
        <v>0</v>
      </c>
      <c r="I16" s="18">
        <v>-1</v>
      </c>
      <c r="J16" s="18" t="s">
        <v>24</v>
      </c>
      <c r="K16" s="7" t="s">
        <v>8</v>
      </c>
      <c r="L16" s="11" t="str">
        <f t="shared" si="2"/>
        <v xml:space="preserve">"Pedal ADSR", </v>
      </c>
      <c r="M16" s="11" t="str">
        <f t="shared" si="3"/>
        <v xml:space="preserve">NULL, </v>
      </c>
      <c r="N16" s="11" t="str">
        <f>IF(J16="NULL",CONCATENATE(J16,", "),CONCATENATE("tm_",J16,", "))</f>
        <v xml:space="preserve">tm_none, </v>
      </c>
      <c r="O16" s="10" t="str">
        <f>CONCATENATE("  {",L16,C16,", ",D16,", ",I16,", ",M16,N16,F16,", ",G16,", ",H16,"},  // Idx ", A16)</f>
        <v xml:space="preserve">  {"Pedal ADSR", 121, 125, -1, NULL, tm_none, -1, -1, 0},  // Idx 12</v>
      </c>
      <c r="P16" s="6"/>
    </row>
    <row r="17" spans="1:16" x14ac:dyDescent="0.25">
      <c r="A17" s="16">
        <f t="shared" si="0"/>
        <v>13</v>
      </c>
      <c r="B17" s="28" t="s">
        <v>86</v>
      </c>
      <c r="C17" s="17">
        <f>A116</f>
        <v>114</v>
      </c>
      <c r="D17" s="17">
        <f>A122</f>
        <v>120</v>
      </c>
      <c r="E17" s="43">
        <f>D17-C17+1</f>
        <v>7</v>
      </c>
      <c r="F17" s="7">
        <v>-1</v>
      </c>
      <c r="G17" s="18">
        <v>-1</v>
      </c>
      <c r="H17" s="7">
        <v>0</v>
      </c>
      <c r="I17" s="18">
        <v>-1</v>
      </c>
      <c r="J17" s="18" t="s">
        <v>24</v>
      </c>
      <c r="K17" s="7" t="s">
        <v>8</v>
      </c>
      <c r="L17" s="11" t="str">
        <f t="shared" si="2"/>
        <v xml:space="preserve">"Pedal GM Synth", </v>
      </c>
      <c r="M17" s="11" t="str">
        <f t="shared" si="3"/>
        <v xml:space="preserve">NULL, </v>
      </c>
      <c r="N17" s="11" t="str">
        <f>IF(J17="NULL",CONCATENATE(J17,", "),CONCATENATE("tm_",J17,", "))</f>
        <v xml:space="preserve">tm_none, </v>
      </c>
      <c r="O17" s="10" t="str">
        <f>CONCATENATE("  {",L17,C17,", ",D17,", ",I17,", ",M17,N17,F17,", ",G17,", ",H17,"},  // Idx ", A17)</f>
        <v xml:space="preserve">  {"Pedal GM Synth", 114, 120, -1, NULL, tm_none, -1, -1, 0},  // Idx 13</v>
      </c>
      <c r="P17" s="6"/>
    </row>
    <row r="18" spans="1:16" s="6" customFormat="1" x14ac:dyDescent="0.25">
      <c r="A18" s="16">
        <f>A10+1</f>
        <v>16</v>
      </c>
      <c r="B18" s="32" t="s">
        <v>181</v>
      </c>
      <c r="C18" s="13">
        <f>A140</f>
        <v>138</v>
      </c>
      <c r="D18" s="13">
        <f>A161</f>
        <v>159</v>
      </c>
      <c r="E18" s="43">
        <f t="shared" si="1"/>
        <v>22</v>
      </c>
      <c r="F18" s="7">
        <v>0</v>
      </c>
      <c r="G18" s="12">
        <v>15</v>
      </c>
      <c r="H18" s="7">
        <v>0</v>
      </c>
      <c r="I18" s="12">
        <v>265</v>
      </c>
      <c r="J18" s="7" t="s">
        <v>149</v>
      </c>
      <c r="K18" s="7" t="s">
        <v>175</v>
      </c>
      <c r="L18" s="11" t="str">
        <f t="shared" ref="L18:L25" si="4">CONCATENATE("""",B18,""", ")</f>
        <v xml:space="preserve">"Organ", </v>
      </c>
      <c r="M18" s="11" t="str">
        <f t="shared" ref="M18:M25" si="5">IF(K18="NULL",CONCATENATE(K18,", "),CONCATENATE("&amp;",K18,", "))</f>
        <v xml:space="preserve">&amp;saveOrgan, </v>
      </c>
      <c r="N18" s="11" t="str">
        <f>IF(J18="NULL",CONCATENATE(J18,", "),CONCATENATE("tm_",J18,", "))</f>
        <v xml:space="preserve">tm_organ, </v>
      </c>
      <c r="O18" s="10" t="str">
        <f>CONCATENATE("  {",L18,C18,", ",D18,", ",I18,", ",M18,N18,F18,", ",G18,", ",H18,"},  // Idx ", A18)</f>
        <v xml:space="preserve">  {"Organ", 138, 159, 265, &amp;saveOrgan, tm_organ, 0, 15, 0},  // Idx 16</v>
      </c>
    </row>
    <row r="19" spans="1:16" x14ac:dyDescent="0.25">
      <c r="A19" s="16">
        <f t="shared" si="0"/>
        <v>17</v>
      </c>
      <c r="B19" s="31" t="s">
        <v>182</v>
      </c>
      <c r="C19" s="13">
        <f>A176</f>
        <v>174</v>
      </c>
      <c r="D19" s="13">
        <f>A188</f>
        <v>186</v>
      </c>
      <c r="E19" s="43">
        <f t="shared" si="1"/>
        <v>13</v>
      </c>
      <c r="F19" s="7">
        <v>0</v>
      </c>
      <c r="G19" s="12">
        <v>15</v>
      </c>
      <c r="H19" s="7">
        <v>0</v>
      </c>
      <c r="I19" s="12">
        <v>266</v>
      </c>
      <c r="J19" s="7" t="s">
        <v>148</v>
      </c>
      <c r="K19" s="7" t="s">
        <v>176</v>
      </c>
      <c r="L19" s="11" t="str">
        <f t="shared" si="4"/>
        <v xml:space="preserve">"Speaker", </v>
      </c>
      <c r="M19" s="11" t="str">
        <f t="shared" si="5"/>
        <v xml:space="preserve">&amp;saveSpeaker, </v>
      </c>
      <c r="N19" s="11" t="str">
        <f>IF(J19="NULL",CONCATENATE(J19,", "),CONCATENATE("tm_",J19,", "))</f>
        <v xml:space="preserve">tm_speaker, </v>
      </c>
      <c r="O19" s="10" t="str">
        <f>CONCATENATE("  {",L19,C19,", ",D19,", ",I19,", ",M19,N19,F19,", ",G19,", ",H19,"},  // Idx ", A19)</f>
        <v xml:space="preserve">  {"Speaker", 174, 186, 266, &amp;saveSpeaker, tm_speaker, 0, 15, 0},  // Idx 17</v>
      </c>
      <c r="P19" s="6"/>
    </row>
    <row r="20" spans="1:16" x14ac:dyDescent="0.25">
      <c r="A20" s="16">
        <f t="shared" si="0"/>
        <v>18</v>
      </c>
      <c r="B20" s="35" t="s">
        <v>191</v>
      </c>
      <c r="C20" s="13">
        <f>A189</f>
        <v>187</v>
      </c>
      <c r="D20" s="13">
        <f>A200</f>
        <v>198</v>
      </c>
      <c r="E20" s="43">
        <f t="shared" si="1"/>
        <v>12</v>
      </c>
      <c r="F20" s="7">
        <v>-1</v>
      </c>
      <c r="G20" s="18">
        <v>-1</v>
      </c>
      <c r="H20" s="7">
        <v>0</v>
      </c>
      <c r="I20" s="18">
        <v>-1</v>
      </c>
      <c r="J20" s="18" t="s">
        <v>24</v>
      </c>
      <c r="K20" s="7" t="s">
        <v>177</v>
      </c>
      <c r="L20" s="11" t="str">
        <f t="shared" si="4"/>
        <v xml:space="preserve">"Keybd Setup", </v>
      </c>
      <c r="M20" s="11" t="str">
        <f t="shared" si="5"/>
        <v xml:space="preserve">&amp;saveDefaults, </v>
      </c>
      <c r="N20" s="11" t="str">
        <f>IF(J20="NULL",CONCATENATE(J20,", "),CONCATENATE("tm_",J20,", "))</f>
        <v xml:space="preserve">tm_none, </v>
      </c>
      <c r="O20" s="10" t="str">
        <f>CONCATENATE("  {",L20,C20,", ",D20,", ",I20,", ",M20,N20,F20,", ",G20,", ",H20,"},  // Idx ", A20)</f>
        <v xml:space="preserve">  {"Keybd Setup", 187, 198, -1, &amp;saveDefaults, tm_none, -1, -1, 0},  // Idx 18</v>
      </c>
      <c r="P20" s="6"/>
    </row>
    <row r="21" spans="1:16" x14ac:dyDescent="0.25">
      <c r="A21" s="16">
        <f t="shared" si="0"/>
        <v>19</v>
      </c>
      <c r="B21" s="26" t="s">
        <v>54</v>
      </c>
      <c r="C21" s="13">
        <v>-1</v>
      </c>
      <c r="D21" s="13">
        <v>-1</v>
      </c>
      <c r="E21" s="13"/>
      <c r="F21" s="3">
        <v>0</v>
      </c>
      <c r="G21" s="7">
        <v>127</v>
      </c>
      <c r="H21" s="7">
        <v>0</v>
      </c>
      <c r="I21" s="7">
        <v>87</v>
      </c>
      <c r="J21" s="7" t="s">
        <v>146</v>
      </c>
      <c r="K21" s="7" t="s">
        <v>8</v>
      </c>
      <c r="L21" s="11" t="str">
        <f>CONCATENATE("""",B21,""", ")</f>
        <v xml:space="preserve">"AO28 Tone Pot", </v>
      </c>
      <c r="M21" s="11" t="str">
        <f>IF(K21="NULL",CONCATENATE(K21,", "),CONCATENATE("&amp;",K21,", "))</f>
        <v xml:space="preserve">NULL, </v>
      </c>
      <c r="N21" s="11" t="str">
        <f>IF(J21="NULL",CONCATENATE(J21,", "),CONCATENATE("tm_",J21,", "))</f>
        <v xml:space="preserve">tm_pot, </v>
      </c>
      <c r="O21" s="10" t="str">
        <f>CONCATENATE("  {",L21,C21,", ",D21,", ",I21,", ",M21,N21,F21,", ",G21,", ",H21,"},  // Idx ", A21)</f>
        <v xml:space="preserve">  {"AO28 Tone Pot", -1, -1, 87, NULL, tm_pot, 0, 127, 0},  // Idx 19</v>
      </c>
      <c r="P21" s="6"/>
    </row>
    <row r="22" spans="1:16" x14ac:dyDescent="0.25">
      <c r="A22" s="16">
        <f t="shared" si="0"/>
        <v>20</v>
      </c>
      <c r="B22" s="26" t="s">
        <v>55</v>
      </c>
      <c r="C22" s="13">
        <v>-1</v>
      </c>
      <c r="D22" s="13">
        <v>-1</v>
      </c>
      <c r="E22" s="13"/>
      <c r="F22" s="3">
        <v>0</v>
      </c>
      <c r="G22" s="7">
        <v>127</v>
      </c>
      <c r="H22" s="7">
        <v>0</v>
      </c>
      <c r="I22" s="7">
        <v>88</v>
      </c>
      <c r="J22" s="7" t="s">
        <v>146</v>
      </c>
      <c r="K22" s="7" t="s">
        <v>8</v>
      </c>
      <c r="L22" s="11" t="str">
        <f>CONCATENATE("""",B22,""", ")</f>
        <v xml:space="preserve">"AO28 Gain Cap", </v>
      </c>
      <c r="M22" s="11" t="str">
        <f>IF(K22="NULL",CONCATENATE(K22,", "),CONCATENATE("&amp;",K22,", "))</f>
        <v xml:space="preserve">NULL, </v>
      </c>
      <c r="N22" s="11" t="str">
        <f>IF(J22="NULL",CONCATENATE(J22,", "),CONCATENATE("tm_",J22,", "))</f>
        <v xml:space="preserve">tm_pot, </v>
      </c>
      <c r="O22" s="10" t="str">
        <f>CONCATENATE("  {",L22,C22,", ",D22,", ",I22,", ",M22,N22,F22,", ",G22,", ",H22,"},  // Idx ", A22)</f>
        <v xml:space="preserve">  {"AO28 Gain Cap", -1, -1, 88, NULL, tm_pot, 0, 127, 0},  // Idx 20</v>
      </c>
      <c r="P22" s="6"/>
    </row>
    <row r="23" spans="1:16" x14ac:dyDescent="0.25">
      <c r="A23" s="16">
        <f t="shared" si="0"/>
        <v>21</v>
      </c>
      <c r="B23" s="8" t="s">
        <v>66</v>
      </c>
      <c r="C23" s="13">
        <v>-1</v>
      </c>
      <c r="D23" s="13">
        <v>-1</v>
      </c>
      <c r="E23" s="13"/>
      <c r="F23" s="5">
        <v>0</v>
      </c>
      <c r="G23" s="5">
        <v>1</v>
      </c>
      <c r="H23" s="7">
        <v>0</v>
      </c>
      <c r="I23" s="5">
        <v>172</v>
      </c>
      <c r="J23" s="7" t="s">
        <v>28</v>
      </c>
      <c r="K23" s="7" t="s">
        <v>8</v>
      </c>
      <c r="L23" s="11" t="str">
        <f>CONCATENATE("""",B23,""", ")</f>
        <v xml:space="preserve">"Ext FX Insert", </v>
      </c>
      <c r="M23" s="11" t="str">
        <f>IF(K23="NULL",CONCATENATE(K23,", "),CONCATENATE("&amp;",K23,", "))</f>
        <v xml:space="preserve">NULL, </v>
      </c>
      <c r="N23" s="11" t="str">
        <f>IF(J23="NULL",CONCATENATE(J23,", "),CONCATENATE("tm_",J23,", "))</f>
        <v xml:space="preserve">tm_tab, </v>
      </c>
      <c r="O23" s="10" t="str">
        <f>CONCATENATE("  {",L23,C23,", ",D23,", ",I23,", ",M23,N23,F23,", ",G23,", ",H23,"},  // Idx ", A23)</f>
        <v xml:space="preserve">  {"Ext FX Insert", -1, -1, 172, NULL, tm_tab, 0, 1, 0},  // Idx 21</v>
      </c>
    </row>
    <row r="24" spans="1:16" x14ac:dyDescent="0.25">
      <c r="A24" s="16">
        <f t="shared" si="0"/>
        <v>22</v>
      </c>
      <c r="B24" s="8" t="s">
        <v>43</v>
      </c>
      <c r="C24" s="13">
        <v>-1</v>
      </c>
      <c r="D24" s="13">
        <v>-1</v>
      </c>
      <c r="E24" s="13"/>
      <c r="F24" s="5">
        <v>0</v>
      </c>
      <c r="G24" s="5">
        <v>1</v>
      </c>
      <c r="H24" s="7">
        <v>0</v>
      </c>
      <c r="I24" s="5">
        <v>137</v>
      </c>
      <c r="J24" s="7" t="s">
        <v>28</v>
      </c>
      <c r="K24" s="7" t="s">
        <v>8</v>
      </c>
      <c r="L24" s="11" t="str">
        <f>CONCATENATE("""",B24,""", ")</f>
        <v xml:space="preserve">"Rotary Bypass", </v>
      </c>
      <c r="M24" s="11" t="str">
        <f>IF(K24="NULL",CONCATENATE(K24,", "),CONCATENATE("&amp;",K24,", "))</f>
        <v xml:space="preserve">NULL, </v>
      </c>
      <c r="N24" s="11" t="str">
        <f>IF(J24="NULL",CONCATENATE(J24,", "),CONCATENATE("tm_",J24,", "))</f>
        <v xml:space="preserve">tm_tab, </v>
      </c>
      <c r="O24" s="10" t="str">
        <f>CONCATENATE("  {",L24,C24,", ",D24,", ",I24,", ",M24,N24,F24,", ",G24,", ",H24,"},  // Idx ", A24)</f>
        <v xml:space="preserve">  {"Rotary Bypass", -1, -1, 137, NULL, tm_tab, 0, 1, 0},  // Idx 22</v>
      </c>
    </row>
    <row r="25" spans="1:16" x14ac:dyDescent="0.25">
      <c r="A25" s="16">
        <f t="shared" si="0"/>
        <v>23</v>
      </c>
      <c r="B25" s="8" t="s">
        <v>184</v>
      </c>
      <c r="C25" s="13">
        <v>-1</v>
      </c>
      <c r="D25" s="13">
        <v>-1</v>
      </c>
      <c r="E25" s="13"/>
      <c r="F25" s="3">
        <v>0</v>
      </c>
      <c r="G25" s="5">
        <v>1</v>
      </c>
      <c r="H25" s="7">
        <v>0</v>
      </c>
      <c r="I25" s="7">
        <v>142</v>
      </c>
      <c r="J25" s="7" t="s">
        <v>28</v>
      </c>
      <c r="K25" s="7" t="s">
        <v>8</v>
      </c>
      <c r="L25" s="11" t="str">
        <f t="shared" si="4"/>
        <v xml:space="preserve">"Separate Pedal", </v>
      </c>
      <c r="M25" s="11" t="str">
        <f t="shared" si="5"/>
        <v xml:space="preserve">NULL, </v>
      </c>
      <c r="N25" s="11" t="str">
        <f>IF(J25="NULL",CONCATENATE(J25,", "),CONCATENATE("tm_",J25,", "))</f>
        <v xml:space="preserve">tm_tab, </v>
      </c>
      <c r="O25" s="10" t="str">
        <f>CONCATENATE("  {",L25,C25,", ",D25,", ",I25,", ",M25,N25,F25,", ",G25,", ",H25,"},  // Idx ", A25)</f>
        <v xml:space="preserve">  {"Separate Pedal", -1, -1, 142, NULL, tm_tab, 0, 1, 0},  // Idx 23</v>
      </c>
      <c r="P25" s="6"/>
    </row>
    <row r="26" spans="1:16" x14ac:dyDescent="0.25">
      <c r="A26" s="16">
        <f t="shared" si="0"/>
        <v>24</v>
      </c>
      <c r="B26" s="45" t="s">
        <v>183</v>
      </c>
      <c r="C26" s="13">
        <v>-1</v>
      </c>
      <c r="D26" s="13">
        <v>-1</v>
      </c>
      <c r="E26" s="43"/>
      <c r="F26" s="3">
        <v>0</v>
      </c>
      <c r="G26" s="5">
        <v>1</v>
      </c>
      <c r="H26" s="7">
        <v>0</v>
      </c>
      <c r="I26" s="7">
        <v>136</v>
      </c>
      <c r="J26" s="7" t="s">
        <v>28</v>
      </c>
      <c r="K26" s="7" t="s">
        <v>8</v>
      </c>
      <c r="L26" s="11" t="str">
        <f t="shared" ref="L26" si="6">CONCATENATE("""",B26,""", ")</f>
        <v xml:space="preserve">"Amp Bypass", </v>
      </c>
      <c r="M26" s="11" t="str">
        <f t="shared" ref="M26" si="7">IF(K26="NULL",CONCATENATE(K26,", "),CONCATENATE("&amp;",K26,", "))</f>
        <v xml:space="preserve">NULL, </v>
      </c>
      <c r="N26" s="11" t="str">
        <f>IF(J26="NULL",CONCATENATE(J26,", "),CONCATENATE("tm_",J26,", "))</f>
        <v xml:space="preserve">tm_tab, </v>
      </c>
      <c r="O26" s="10" t="str">
        <f>CONCATENATE("  {",L26,C26,", ",D26,", ",I26,", ",M26,N26,F26,", ",G26,", ",H26,"},  // Idx ", A26)</f>
        <v xml:space="preserve">  {"Amp Bypass", -1, -1, 136, NULL, tm_tab, 0, 1, 0},  // Idx 24</v>
      </c>
      <c r="P26" s="6"/>
    </row>
    <row r="27" spans="1:16" x14ac:dyDescent="0.25">
      <c r="A27" s="16">
        <f t="shared" si="0"/>
        <v>25</v>
      </c>
      <c r="B27" s="30" t="s">
        <v>67</v>
      </c>
      <c r="C27" s="13">
        <v>-1</v>
      </c>
      <c r="D27" s="13">
        <v>-1</v>
      </c>
      <c r="E27" s="13"/>
      <c r="F27" s="3">
        <v>0</v>
      </c>
      <c r="G27" s="3">
        <v>127</v>
      </c>
      <c r="H27" s="7">
        <v>0</v>
      </c>
      <c r="I27" s="3">
        <v>0</v>
      </c>
      <c r="J27" s="7" t="s">
        <v>27</v>
      </c>
      <c r="K27" s="7" t="s">
        <v>8</v>
      </c>
      <c r="L27" s="11" t="str">
        <f>CONCATENATE("""",B27,""", ")</f>
        <v xml:space="preserve">"Drawbar 16", </v>
      </c>
      <c r="M27" s="11" t="str">
        <f>IF(K27="NULL",CONCATENATE(K27,", "),CONCATENATE("&amp;",K27,", "))</f>
        <v xml:space="preserve">NULL, </v>
      </c>
      <c r="N27" s="11" t="str">
        <f>IF(J27="NULL",CONCATENATE(J27,", "),CONCATENATE("tm_",J27,", "))</f>
        <v xml:space="preserve">tm_drawbar, </v>
      </c>
      <c r="O27" s="10" t="str">
        <f>CONCATENATE("  {",L27,C27,", ",D27,", ",I27,", ",M27,N27,F27,", ",G27,", ",H27,"},  // Idx ", A27)</f>
        <v xml:space="preserve">  {"Drawbar 16", -1, -1, 0, NULL, tm_drawbar, 0, 127, 0},  // Idx 25</v>
      </c>
      <c r="P27" s="6"/>
    </row>
    <row r="28" spans="1:16" x14ac:dyDescent="0.25">
      <c r="A28" s="16">
        <f t="shared" si="0"/>
        <v>26</v>
      </c>
      <c r="B28" s="30" t="s">
        <v>68</v>
      </c>
      <c r="C28" s="13">
        <v>-1</v>
      </c>
      <c r="D28" s="13">
        <v>-1</v>
      </c>
      <c r="E28" s="13"/>
      <c r="F28" s="3">
        <v>0</v>
      </c>
      <c r="G28" s="3">
        <v>127</v>
      </c>
      <c r="H28" s="7">
        <v>0</v>
      </c>
      <c r="I28" s="3">
        <v>1</v>
      </c>
      <c r="J28" s="7" t="s">
        <v>27</v>
      </c>
      <c r="K28" s="7" t="s">
        <v>8</v>
      </c>
      <c r="L28" s="11" t="str">
        <f>CONCATENATE("""",B28,""", ")</f>
        <v xml:space="preserve">"Drawbar 5 1/3", </v>
      </c>
      <c r="M28" s="11" t="str">
        <f>IF(K28="NULL",CONCATENATE(K28,", "),CONCATENATE("&amp;",K28,", "))</f>
        <v xml:space="preserve">NULL, </v>
      </c>
      <c r="N28" s="11" t="str">
        <f>IF(J28="NULL",CONCATENATE(J28,", "),CONCATENATE("tm_",J28,", "))</f>
        <v xml:space="preserve">tm_drawbar, </v>
      </c>
      <c r="O28" s="10" t="str">
        <f>CONCATENATE("  {",L28,C28,", ",D28,", ",I28,", ",M28,N28,F28,", ",G28,", ",H28,"},  // Idx ", A28)</f>
        <v xml:space="preserve">  {"Drawbar 5 1/3", -1, -1, 1, NULL, tm_drawbar, 0, 127, 0},  // Idx 26</v>
      </c>
      <c r="P28" s="6"/>
    </row>
    <row r="29" spans="1:16" s="6" customFormat="1" x14ac:dyDescent="0.25">
      <c r="A29" s="16">
        <f t="shared" si="0"/>
        <v>27</v>
      </c>
      <c r="B29" s="30" t="s">
        <v>69</v>
      </c>
      <c r="C29" s="13">
        <v>-1</v>
      </c>
      <c r="D29" s="13">
        <v>-1</v>
      </c>
      <c r="E29" s="13"/>
      <c r="F29" s="3">
        <v>0</v>
      </c>
      <c r="G29" s="3">
        <v>127</v>
      </c>
      <c r="H29" s="7">
        <v>0</v>
      </c>
      <c r="I29" s="3">
        <v>2</v>
      </c>
      <c r="J29" s="7" t="s">
        <v>27</v>
      </c>
      <c r="K29" s="7" t="s">
        <v>8</v>
      </c>
      <c r="L29" s="11" t="str">
        <f>CONCATENATE("""",B29,""", ")</f>
        <v xml:space="preserve">"Drawbar 8", </v>
      </c>
      <c r="M29" s="11" t="str">
        <f>IF(K29="NULL",CONCATENATE(K29,", "),CONCATENATE("&amp;",K29,", "))</f>
        <v xml:space="preserve">NULL, </v>
      </c>
      <c r="N29" s="11" t="str">
        <f>IF(J29="NULL",CONCATENATE(J29,", "),CONCATENATE("tm_",J29,", "))</f>
        <v xml:space="preserve">tm_drawbar, </v>
      </c>
      <c r="O29" s="10" t="str">
        <f>CONCATENATE("  {",L29,C29,", ",D29,", ",I29,", ",M29,N29,F29,", ",G29,", ",H29,"},  // Idx ", A29)</f>
        <v xml:space="preserve">  {"Drawbar 8", -1, -1, 2, NULL, tm_drawbar, 0, 127, 0},  // Idx 27</v>
      </c>
    </row>
    <row r="30" spans="1:16" x14ac:dyDescent="0.25">
      <c r="A30" s="16">
        <f t="shared" si="0"/>
        <v>28</v>
      </c>
      <c r="B30" s="30" t="s">
        <v>70</v>
      </c>
      <c r="C30" s="13">
        <v>-1</v>
      </c>
      <c r="D30" s="13">
        <v>-1</v>
      </c>
      <c r="E30" s="13"/>
      <c r="F30" s="3">
        <v>0</v>
      </c>
      <c r="G30" s="3">
        <v>127</v>
      </c>
      <c r="H30" s="7">
        <v>0</v>
      </c>
      <c r="I30" s="3">
        <v>3</v>
      </c>
      <c r="J30" s="7" t="s">
        <v>27</v>
      </c>
      <c r="K30" s="7" t="s">
        <v>8</v>
      </c>
      <c r="L30" s="11" t="str">
        <f>CONCATENATE("""",B30,""", ")</f>
        <v xml:space="preserve">"Drawbar 4", </v>
      </c>
      <c r="M30" s="11" t="str">
        <f>IF(K30="NULL",CONCATENATE(K30,", "),CONCATENATE("&amp;",K30,", "))</f>
        <v xml:space="preserve">NULL, </v>
      </c>
      <c r="N30" s="11" t="str">
        <f>IF(J30="NULL",CONCATENATE(J30,", "),CONCATENATE("tm_",J30,", "))</f>
        <v xml:space="preserve">tm_drawbar, </v>
      </c>
      <c r="O30" s="10" t="str">
        <f>CONCATENATE("  {",L30,C30,", ",D30,", ",I30,", ",M30,N30,F30,", ",G30,", ",H30,"},  // Idx ", A30)</f>
        <v xml:space="preserve">  {"Drawbar 4", -1, -1, 3, NULL, tm_drawbar, 0, 127, 0},  // Idx 28</v>
      </c>
    </row>
    <row r="31" spans="1:16" x14ac:dyDescent="0.25">
      <c r="A31" s="16">
        <f t="shared" si="0"/>
        <v>29</v>
      </c>
      <c r="B31" s="30" t="s">
        <v>71</v>
      </c>
      <c r="C31" s="13">
        <v>-1</v>
      </c>
      <c r="D31" s="13">
        <v>-1</v>
      </c>
      <c r="E31" s="13"/>
      <c r="F31" s="3">
        <v>0</v>
      </c>
      <c r="G31" s="3">
        <v>127</v>
      </c>
      <c r="H31" s="7">
        <v>0</v>
      </c>
      <c r="I31" s="3">
        <v>4</v>
      </c>
      <c r="J31" s="7" t="s">
        <v>27</v>
      </c>
      <c r="K31" s="7" t="s">
        <v>8</v>
      </c>
      <c r="L31" s="11" t="str">
        <f>CONCATENATE("""",B31,""", ")</f>
        <v xml:space="preserve">"Drawbar 2 2/3", </v>
      </c>
      <c r="M31" s="11" t="str">
        <f>IF(K31="NULL",CONCATENATE(K31,", "),CONCATENATE("&amp;",K31,", "))</f>
        <v xml:space="preserve">NULL, </v>
      </c>
      <c r="N31" s="11" t="str">
        <f>IF(J31="NULL",CONCATENATE(J31,", "),CONCATENATE("tm_",J31,", "))</f>
        <v xml:space="preserve">tm_drawbar, </v>
      </c>
      <c r="O31" s="10" t="str">
        <f>CONCATENATE("  {",L31,C31,", ",D31,", ",I31,", ",M31,N31,F31,", ",G31,", ",H31,"},  // Idx ", A31)</f>
        <v xml:space="preserve">  {"Drawbar 2 2/3", -1, -1, 4, NULL, tm_drawbar, 0, 127, 0},  // Idx 29</v>
      </c>
    </row>
    <row r="32" spans="1:16" x14ac:dyDescent="0.25">
      <c r="A32" s="16">
        <f t="shared" si="0"/>
        <v>30</v>
      </c>
      <c r="B32" s="30" t="s">
        <v>72</v>
      </c>
      <c r="C32" s="13">
        <v>-1</v>
      </c>
      <c r="D32" s="13">
        <v>-1</v>
      </c>
      <c r="E32" s="13"/>
      <c r="F32" s="3">
        <v>0</v>
      </c>
      <c r="G32" s="3">
        <v>127</v>
      </c>
      <c r="H32" s="7">
        <v>0</v>
      </c>
      <c r="I32" s="3">
        <v>5</v>
      </c>
      <c r="J32" s="7" t="s">
        <v>27</v>
      </c>
      <c r="K32" s="7" t="s">
        <v>8</v>
      </c>
      <c r="L32" s="11" t="str">
        <f>CONCATENATE("""",B32,""", ")</f>
        <v xml:space="preserve">"Drawbar 2", </v>
      </c>
      <c r="M32" s="11" t="str">
        <f>IF(K32="NULL",CONCATENATE(K32,", "),CONCATENATE("&amp;",K32,", "))</f>
        <v xml:space="preserve">NULL, </v>
      </c>
      <c r="N32" s="11" t="str">
        <f>IF(J32="NULL",CONCATENATE(J32,", "),CONCATENATE("tm_",J32,", "))</f>
        <v xml:space="preserve">tm_drawbar, </v>
      </c>
      <c r="O32" s="10" t="str">
        <f>CONCATENATE("  {",L32,C32,", ",D32,", ",I32,", ",M32,N32,F32,", ",G32,", ",H32,"},  // Idx ", A32)</f>
        <v xml:space="preserve">  {"Drawbar 2", -1, -1, 5, NULL, tm_drawbar, 0, 127, 0},  // Idx 30</v>
      </c>
    </row>
    <row r="33" spans="1:15" x14ac:dyDescent="0.25">
      <c r="A33" s="16">
        <f t="shared" si="0"/>
        <v>31</v>
      </c>
      <c r="B33" s="30" t="s">
        <v>73</v>
      </c>
      <c r="C33" s="13">
        <v>-1</v>
      </c>
      <c r="D33" s="13">
        <v>-1</v>
      </c>
      <c r="E33" s="13"/>
      <c r="F33" s="3">
        <v>0</v>
      </c>
      <c r="G33" s="3">
        <v>127</v>
      </c>
      <c r="H33" s="7">
        <v>0</v>
      </c>
      <c r="I33" s="3">
        <v>6</v>
      </c>
      <c r="J33" s="7" t="s">
        <v>27</v>
      </c>
      <c r="K33" s="7" t="s">
        <v>8</v>
      </c>
      <c r="L33" s="11" t="str">
        <f>CONCATENATE("""",B33,""", ")</f>
        <v xml:space="preserve">"Drawbar 1 3/5", </v>
      </c>
      <c r="M33" s="11" t="str">
        <f>IF(K33="NULL",CONCATENATE(K33,", "),CONCATENATE("&amp;",K33,", "))</f>
        <v xml:space="preserve">NULL, </v>
      </c>
      <c r="N33" s="11" t="str">
        <f>IF(J33="NULL",CONCATENATE(J33,", "),CONCATENATE("tm_",J33,", "))</f>
        <v xml:space="preserve">tm_drawbar, </v>
      </c>
      <c r="O33" s="10" t="str">
        <f>CONCATENATE("  {",L33,C33,", ",D33,", ",I33,", ",M33,N33,F33,", ",G33,", ",H33,"},  // Idx ", A33)</f>
        <v xml:space="preserve">  {"Drawbar 1 3/5", -1, -1, 6, NULL, tm_drawbar, 0, 127, 0},  // Idx 31</v>
      </c>
    </row>
    <row r="34" spans="1:15" s="6" customFormat="1" x14ac:dyDescent="0.25">
      <c r="A34" s="16">
        <f t="shared" si="0"/>
        <v>32</v>
      </c>
      <c r="B34" s="30" t="s">
        <v>74</v>
      </c>
      <c r="C34" s="13">
        <v>-1</v>
      </c>
      <c r="D34" s="13">
        <v>-1</v>
      </c>
      <c r="E34" s="13"/>
      <c r="F34" s="3">
        <v>0</v>
      </c>
      <c r="G34" s="3">
        <v>127</v>
      </c>
      <c r="H34" s="7">
        <v>0</v>
      </c>
      <c r="I34" s="3">
        <v>7</v>
      </c>
      <c r="J34" s="7" t="s">
        <v>27</v>
      </c>
      <c r="K34" s="7" t="s">
        <v>8</v>
      </c>
      <c r="L34" s="11" t="str">
        <f>CONCATENATE("""",B34,""", ")</f>
        <v xml:space="preserve">"Drawbar 1 1/3", </v>
      </c>
      <c r="M34" s="11" t="str">
        <f>IF(K34="NULL",CONCATENATE(K34,", "),CONCATENATE("&amp;",K34,", "))</f>
        <v xml:space="preserve">NULL, </v>
      </c>
      <c r="N34" s="11" t="str">
        <f>IF(J34="NULL",CONCATENATE(J34,", "),CONCATENATE("tm_",J34,", "))</f>
        <v xml:space="preserve">tm_drawbar, </v>
      </c>
      <c r="O34" s="10" t="str">
        <f>CONCATENATE("  {",L34,C34,", ",D34,", ",I34,", ",M34,N34,F34,", ",G34,", ",H34,"},  // Idx ", A34)</f>
        <v xml:space="preserve">  {"Drawbar 1 1/3", -1, -1, 7, NULL, tm_drawbar, 0, 127, 0},  // Idx 32</v>
      </c>
    </row>
    <row r="35" spans="1:15" x14ac:dyDescent="0.25">
      <c r="A35" s="16">
        <f t="shared" si="0"/>
        <v>33</v>
      </c>
      <c r="B35" s="30" t="s">
        <v>75</v>
      </c>
      <c r="C35" s="13">
        <v>-1</v>
      </c>
      <c r="D35" s="13">
        <v>-1</v>
      </c>
      <c r="E35" s="13"/>
      <c r="F35" s="3">
        <v>0</v>
      </c>
      <c r="G35" s="3">
        <v>127</v>
      </c>
      <c r="H35" s="7">
        <v>0</v>
      </c>
      <c r="I35" s="3">
        <v>8</v>
      </c>
      <c r="J35" s="7" t="s">
        <v>27</v>
      </c>
      <c r="K35" s="7" t="s">
        <v>8</v>
      </c>
      <c r="L35" s="11" t="str">
        <f>CONCATENATE("""",B35,""", ")</f>
        <v xml:space="preserve">"Drawbar 1", </v>
      </c>
      <c r="M35" s="11" t="str">
        <f>IF(K35="NULL",CONCATENATE(K35,", "),CONCATENATE("&amp;",K35,", "))</f>
        <v xml:space="preserve">NULL, </v>
      </c>
      <c r="N35" s="11" t="str">
        <f>IF(J35="NULL",CONCATENATE(J35,", "),CONCATENATE("tm_",J35,", "))</f>
        <v xml:space="preserve">tm_drawbar, </v>
      </c>
      <c r="O35" s="10" t="str">
        <f>CONCATENATE("  {",L35,C35,", ",D35,", ",I35,", ",M35,N35,F35,", ",G35,", ",H35,"},  // Idx ", A35)</f>
        <v xml:space="preserve">  {"Drawbar 1", -1, -1, 8, NULL, tm_drawbar, 0, 127, 0},  // Idx 33</v>
      </c>
    </row>
    <row r="36" spans="1:15" x14ac:dyDescent="0.25">
      <c r="A36" s="16">
        <f t="shared" si="0"/>
        <v>34</v>
      </c>
      <c r="B36" s="30" t="s">
        <v>76</v>
      </c>
      <c r="C36" s="13">
        <v>-1</v>
      </c>
      <c r="D36" s="13">
        <v>-1</v>
      </c>
      <c r="E36" s="13"/>
      <c r="F36" s="3">
        <v>0</v>
      </c>
      <c r="G36" s="3">
        <v>127</v>
      </c>
      <c r="H36" s="7">
        <v>0</v>
      </c>
      <c r="I36" s="3">
        <v>9</v>
      </c>
      <c r="J36" s="7" t="s">
        <v>27</v>
      </c>
      <c r="K36" s="7" t="s">
        <v>8</v>
      </c>
      <c r="L36" s="11" t="str">
        <f t="shared" ref="L36:L93" si="8">CONCATENATE("""",B36,""", ")</f>
        <v xml:space="preserve">"Drawbar Mix 1", </v>
      </c>
      <c r="M36" s="11" t="str">
        <f t="shared" ref="M36:M93" si="9">IF(K36="NULL",CONCATENATE(K36,", "),CONCATENATE("&amp;",K36,", "))</f>
        <v xml:space="preserve">NULL, </v>
      </c>
      <c r="N36" s="11" t="str">
        <f>IF(J36="NULL",CONCATENATE(J36,", "),CONCATENATE("tm_",J36,", "))</f>
        <v xml:space="preserve">tm_drawbar, </v>
      </c>
      <c r="O36" s="10" t="str">
        <f>CONCATENATE("  {",L36,C36,", ",D36,", ",I36,", ",M36,N36,F36,", ",G36,", ",H36,"},  // Idx ", A36)</f>
        <v xml:space="preserve">  {"Drawbar Mix 1", -1, -1, 9, NULL, tm_drawbar, 0, 127, 0},  // Idx 34</v>
      </c>
    </row>
    <row r="37" spans="1:15" x14ac:dyDescent="0.25">
      <c r="A37" s="16">
        <f t="shared" si="0"/>
        <v>35</v>
      </c>
      <c r="B37" s="30" t="s">
        <v>77</v>
      </c>
      <c r="C37" s="13">
        <v>-1</v>
      </c>
      <c r="D37" s="13">
        <v>-1</v>
      </c>
      <c r="E37" s="13"/>
      <c r="F37" s="3">
        <v>0</v>
      </c>
      <c r="G37" s="3">
        <v>127</v>
      </c>
      <c r="H37" s="7">
        <v>0</v>
      </c>
      <c r="I37" s="3">
        <v>10</v>
      </c>
      <c r="J37" s="7" t="s">
        <v>27</v>
      </c>
      <c r="K37" s="7" t="s">
        <v>8</v>
      </c>
      <c r="L37" s="11" t="str">
        <f t="shared" si="8"/>
        <v xml:space="preserve">"Drawbar Mix 2", </v>
      </c>
      <c r="M37" s="11" t="str">
        <f t="shared" si="9"/>
        <v xml:space="preserve">NULL, </v>
      </c>
      <c r="N37" s="11" t="str">
        <f>IF(J37="NULL",CONCATENATE(J37,", "),CONCATENATE("tm_",J37,", "))</f>
        <v xml:space="preserve">tm_drawbar, </v>
      </c>
      <c r="O37" s="10" t="str">
        <f>CONCATENATE("  {",L37,C37,", ",D37,", ",I37,", ",M37,N37,F37,", ",G37,", ",H37,"},  // Idx ", A37)</f>
        <v xml:space="preserve">  {"Drawbar Mix 2", -1, -1, 10, NULL, tm_drawbar, 0, 127, 0},  // Idx 35</v>
      </c>
    </row>
    <row r="38" spans="1:15" x14ac:dyDescent="0.25">
      <c r="A38" s="16">
        <f t="shared" si="0"/>
        <v>36</v>
      </c>
      <c r="B38" s="30" t="s">
        <v>78</v>
      </c>
      <c r="C38" s="13">
        <v>-1</v>
      </c>
      <c r="D38" s="13">
        <v>-1</v>
      </c>
      <c r="E38" s="13"/>
      <c r="F38" s="3">
        <v>0</v>
      </c>
      <c r="G38" s="3">
        <v>127</v>
      </c>
      <c r="H38" s="7">
        <v>0</v>
      </c>
      <c r="I38" s="3">
        <v>11</v>
      </c>
      <c r="J38" s="7" t="s">
        <v>27</v>
      </c>
      <c r="K38" s="7" t="s">
        <v>8</v>
      </c>
      <c r="L38" s="11" t="str">
        <f t="shared" si="8"/>
        <v xml:space="preserve">"Drawbar Mix 3", </v>
      </c>
      <c r="M38" s="11" t="str">
        <f t="shared" si="9"/>
        <v xml:space="preserve">NULL, </v>
      </c>
      <c r="N38" s="11" t="str">
        <f>IF(J38="NULL",CONCATENATE(J38,", "),CONCATENATE("tm_",J38,", "))</f>
        <v xml:space="preserve">tm_drawbar, </v>
      </c>
      <c r="O38" s="10" t="str">
        <f>CONCATENATE("  {",L38,C38,", ",D38,", ",I38,", ",M38,N38,F38,", ",G38,", ",H38,"},  // Idx ", A38)</f>
        <v xml:space="preserve">  {"Drawbar Mix 3", -1, -1, 11, NULL, tm_drawbar, 0, 127, 0},  // Idx 36</v>
      </c>
    </row>
    <row r="39" spans="1:15" x14ac:dyDescent="0.25">
      <c r="A39" s="16">
        <f t="shared" si="0"/>
        <v>37</v>
      </c>
      <c r="B39" s="39" t="s">
        <v>79</v>
      </c>
      <c r="C39" s="13">
        <v>-1</v>
      </c>
      <c r="D39" s="13">
        <v>-1</v>
      </c>
      <c r="E39" s="13"/>
      <c r="F39" s="3">
        <v>0</v>
      </c>
      <c r="G39" s="3">
        <v>126</v>
      </c>
      <c r="H39" s="7">
        <v>0</v>
      </c>
      <c r="I39" s="3">
        <v>224</v>
      </c>
      <c r="J39" s="7" t="s">
        <v>26</v>
      </c>
      <c r="K39" s="7" t="s">
        <v>8</v>
      </c>
      <c r="L39" s="11" t="str">
        <f t="shared" si="8"/>
        <v xml:space="preserve">"GM Prg 1", </v>
      </c>
      <c r="M39" s="11" t="str">
        <f t="shared" si="9"/>
        <v xml:space="preserve">NULL, </v>
      </c>
      <c r="N39" s="11" t="str">
        <f>IF(J39="NULL",CONCATENATE(J39,", "),CONCATENATE("tm_",J39,", "))</f>
        <v xml:space="preserve">tm_numeric, </v>
      </c>
      <c r="O39" s="10" t="str">
        <f>CONCATENATE("  {",L39,C39,", ",D39,", ",I39,", ",M39,N39,F39,", ",G39,", ",H39,"},  // Idx ", A39)</f>
        <v xml:space="preserve">  {"GM Prg 1", -1, -1, 224, NULL, tm_numeric, 0, 126, 0},  // Idx 37</v>
      </c>
    </row>
    <row r="40" spans="1:15" x14ac:dyDescent="0.25">
      <c r="A40" s="16">
        <f t="shared" si="0"/>
        <v>38</v>
      </c>
      <c r="B40" s="39" t="s">
        <v>159</v>
      </c>
      <c r="C40" s="13">
        <v>-1</v>
      </c>
      <c r="D40" s="13">
        <v>-1</v>
      </c>
      <c r="E40" s="13"/>
      <c r="F40" s="3">
        <v>0</v>
      </c>
      <c r="G40" s="3">
        <v>127</v>
      </c>
      <c r="H40" s="7">
        <v>0</v>
      </c>
      <c r="I40" s="3">
        <v>225</v>
      </c>
      <c r="J40" s="7" t="s">
        <v>146</v>
      </c>
      <c r="K40" s="7" t="s">
        <v>8</v>
      </c>
      <c r="L40" s="11" t="str">
        <f t="shared" si="8"/>
        <v xml:space="preserve">"GM Level 1", </v>
      </c>
      <c r="M40" s="11" t="str">
        <f t="shared" si="9"/>
        <v xml:space="preserve">NULL, </v>
      </c>
      <c r="N40" s="11" t="str">
        <f>IF(J40="NULL",CONCATENATE(J40,", "),CONCATENATE("tm_",J40,", "))</f>
        <v xml:space="preserve">tm_pot, </v>
      </c>
      <c r="O40" s="10" t="str">
        <f>CONCATENATE("  {",L40,C40,", ",D40,", ",I40,", ",M40,N40,F40,", ",G40,", ",H40,"},  // Idx ", A40)</f>
        <v xml:space="preserve">  {"GM Level 1", -1, -1, 225, NULL, tm_pot, 0, 127, 0},  // Idx 38</v>
      </c>
    </row>
    <row r="41" spans="1:15" x14ac:dyDescent="0.25">
      <c r="A41" s="16">
        <f t="shared" si="0"/>
        <v>39</v>
      </c>
      <c r="B41" s="39" t="s">
        <v>80</v>
      </c>
      <c r="C41" s="13">
        <v>-1</v>
      </c>
      <c r="D41" s="13">
        <v>-1</v>
      </c>
      <c r="E41" s="13"/>
      <c r="F41" s="3">
        <v>0</v>
      </c>
      <c r="G41" s="3">
        <v>5</v>
      </c>
      <c r="H41" s="7">
        <v>0</v>
      </c>
      <c r="I41" s="3">
        <v>226</v>
      </c>
      <c r="J41" s="7" t="s">
        <v>26</v>
      </c>
      <c r="K41" s="7" t="s">
        <v>8</v>
      </c>
      <c r="L41" s="11" t="str">
        <f t="shared" si="8"/>
        <v xml:space="preserve">"GM Hrm 1", </v>
      </c>
      <c r="M41" s="11" t="str">
        <f t="shared" si="9"/>
        <v xml:space="preserve">NULL, </v>
      </c>
      <c r="N41" s="11" t="str">
        <f>IF(J41="NULL",CONCATENATE(J41,", "),CONCATENATE("tm_",J41,", "))</f>
        <v xml:space="preserve">tm_numeric, </v>
      </c>
      <c r="O41" s="10" t="str">
        <f>CONCATENATE("  {",L41,C41,", ",D41,", ",I41,", ",M41,N41,F41,", ",G41,", ",H41,"},  // Idx ", A41)</f>
        <v xml:space="preserve">  {"GM Hrm 1", -1, -1, 226, NULL, tm_numeric, 0, 5, 0},  // Idx 39</v>
      </c>
    </row>
    <row r="42" spans="1:15" x14ac:dyDescent="0.25">
      <c r="A42" s="16">
        <f t="shared" si="0"/>
        <v>40</v>
      </c>
      <c r="B42" s="39" t="s">
        <v>81</v>
      </c>
      <c r="C42" s="13">
        <v>-1</v>
      </c>
      <c r="D42" s="13">
        <v>-1</v>
      </c>
      <c r="E42" s="13"/>
      <c r="F42" s="3">
        <v>0</v>
      </c>
      <c r="G42" s="3">
        <v>126</v>
      </c>
      <c r="H42" s="7">
        <v>1</v>
      </c>
      <c r="I42" s="3">
        <v>227</v>
      </c>
      <c r="J42" s="7" t="s">
        <v>26</v>
      </c>
      <c r="K42" s="7" t="s">
        <v>8</v>
      </c>
      <c r="L42" s="11" t="str">
        <f t="shared" si="8"/>
        <v xml:space="preserve">"GM Prg 2", </v>
      </c>
      <c r="M42" s="11" t="str">
        <f t="shared" si="9"/>
        <v xml:space="preserve">NULL, </v>
      </c>
      <c r="N42" s="11" t="str">
        <f>IF(J42="NULL",CONCATENATE(J42,", "),CONCATENATE("tm_",J42,", "))</f>
        <v xml:space="preserve">tm_numeric, </v>
      </c>
      <c r="O42" s="10" t="str">
        <f>CONCATENATE("  {",L42,C42,", ",D42,", ",I42,", ",M42,N42,F42,", ",G42,", ",H42,"},  // Idx ", A42)</f>
        <v xml:space="preserve">  {"GM Prg 2", -1, -1, 227, NULL, tm_numeric, 0, 126, 1},  // Idx 40</v>
      </c>
    </row>
    <row r="43" spans="1:15" x14ac:dyDescent="0.25">
      <c r="A43" s="16">
        <f t="shared" si="0"/>
        <v>41</v>
      </c>
      <c r="B43" s="39" t="s">
        <v>160</v>
      </c>
      <c r="C43" s="13">
        <v>-1</v>
      </c>
      <c r="D43" s="13">
        <v>-1</v>
      </c>
      <c r="E43" s="13"/>
      <c r="F43" s="3">
        <v>0</v>
      </c>
      <c r="G43" s="3">
        <v>127</v>
      </c>
      <c r="H43" s="7">
        <v>1</v>
      </c>
      <c r="I43" s="3">
        <v>228</v>
      </c>
      <c r="J43" s="7" t="s">
        <v>146</v>
      </c>
      <c r="K43" s="7" t="s">
        <v>8</v>
      </c>
      <c r="L43" s="11" t="str">
        <f t="shared" si="8"/>
        <v xml:space="preserve">"GM Level 2", </v>
      </c>
      <c r="M43" s="11" t="str">
        <f t="shared" si="9"/>
        <v xml:space="preserve">NULL, </v>
      </c>
      <c r="N43" s="11" t="str">
        <f>IF(J43="NULL",CONCATENATE(J43,", "),CONCATENATE("tm_",J43,", "))</f>
        <v xml:space="preserve">tm_pot, </v>
      </c>
      <c r="O43" s="10" t="str">
        <f>CONCATENATE("  {",L43,C43,", ",D43,", ",I43,", ",M43,N43,F43,", ",G43,", ",H43,"},  // Idx ", A43)</f>
        <v xml:space="preserve">  {"GM Level 2", -1, -1, 228, NULL, tm_pot, 0, 127, 1},  // Idx 41</v>
      </c>
    </row>
    <row r="44" spans="1:15" x14ac:dyDescent="0.25">
      <c r="A44" s="16">
        <f t="shared" si="0"/>
        <v>42</v>
      </c>
      <c r="B44" s="39" t="s">
        <v>82</v>
      </c>
      <c r="C44" s="13">
        <v>-1</v>
      </c>
      <c r="D44" s="13">
        <v>-1</v>
      </c>
      <c r="E44" s="13"/>
      <c r="F44" s="3">
        <v>0</v>
      </c>
      <c r="G44" s="3">
        <v>5</v>
      </c>
      <c r="H44" s="7">
        <v>1</v>
      </c>
      <c r="I44" s="3">
        <v>229</v>
      </c>
      <c r="J44" s="7" t="s">
        <v>26</v>
      </c>
      <c r="K44" s="7" t="s">
        <v>8</v>
      </c>
      <c r="L44" s="11" t="str">
        <f t="shared" si="8"/>
        <v xml:space="preserve">"GM Harm2", </v>
      </c>
      <c r="M44" s="11" t="str">
        <f t="shared" si="9"/>
        <v xml:space="preserve">NULL, </v>
      </c>
      <c r="N44" s="11" t="str">
        <f>IF(J44="NULL",CONCATENATE(J44,", "),CONCATENATE("tm_",J44,", "))</f>
        <v xml:space="preserve">tm_numeric, </v>
      </c>
      <c r="O44" s="10" t="str">
        <f>CONCATENATE("  {",L44,C44,", ",D44,", ",I44,", ",M44,N44,F44,", ",G44,", ",H44,"},  // Idx ", A44)</f>
        <v xml:space="preserve">  {"GM Harm2", -1, -1, 229, NULL, tm_numeric, 0, 5, 1},  // Idx 42</v>
      </c>
    </row>
    <row r="45" spans="1:15" x14ac:dyDescent="0.25">
      <c r="A45" s="16">
        <f t="shared" si="0"/>
        <v>43</v>
      </c>
      <c r="B45" s="39" t="s">
        <v>119</v>
      </c>
      <c r="C45" s="13">
        <v>-1</v>
      </c>
      <c r="D45" s="13">
        <v>-1</v>
      </c>
      <c r="E45" s="13"/>
      <c r="F45" s="3">
        <v>0</v>
      </c>
      <c r="G45" s="3">
        <v>15</v>
      </c>
      <c r="H45" s="7">
        <v>1</v>
      </c>
      <c r="I45" s="3">
        <v>230</v>
      </c>
      <c r="J45" s="7" t="s">
        <v>146</v>
      </c>
      <c r="K45" s="7" t="s">
        <v>8</v>
      </c>
      <c r="L45" s="11" t="str">
        <f t="shared" si="8"/>
        <v xml:space="preserve">"GM Detune 2", </v>
      </c>
      <c r="M45" s="11" t="str">
        <f t="shared" si="9"/>
        <v xml:space="preserve">NULL, </v>
      </c>
      <c r="N45" s="11" t="str">
        <f>IF(J45="NULL",CONCATENATE(J45,", "),CONCATENATE("tm_",J45,", "))</f>
        <v xml:space="preserve">tm_pot, </v>
      </c>
      <c r="O45" s="10" t="str">
        <f>CONCATENATE("  {",L45,C45,", ",D45,", ",I45,", ",M45,N45,F45,", ",G45,", ",H45,"},  // Idx ", A45)</f>
        <v xml:space="preserve">  {"GM Detune 2", -1, -1, 230, NULL, tm_pot, 0, 15, 1},  // Idx 43</v>
      </c>
    </row>
    <row r="46" spans="1:15" x14ac:dyDescent="0.25">
      <c r="A46" s="16">
        <f t="shared" si="0"/>
        <v>44</v>
      </c>
      <c r="B46" s="40" t="s">
        <v>89</v>
      </c>
      <c r="C46" s="13">
        <v>-1</v>
      </c>
      <c r="D46" s="13">
        <v>-1</v>
      </c>
      <c r="E46" s="13"/>
      <c r="F46" s="3">
        <v>0</v>
      </c>
      <c r="G46" s="3">
        <v>127</v>
      </c>
      <c r="H46" s="7">
        <v>1</v>
      </c>
      <c r="I46" s="3">
        <v>96</v>
      </c>
      <c r="J46" s="7" t="s">
        <v>27</v>
      </c>
      <c r="K46" s="7" t="s">
        <v>8</v>
      </c>
      <c r="L46" s="11" t="str">
        <f t="shared" ref="L46:L74" si="10">CONCATENATE("""",B46,""", ")</f>
        <v xml:space="preserve">"Env/Perc 16", </v>
      </c>
      <c r="M46" s="11" t="str">
        <f t="shared" ref="M46:M74" si="11">IF(K46="NULL",CONCATENATE(K46,", "),CONCATENATE("&amp;",K46,", "))</f>
        <v xml:space="preserve">NULL, </v>
      </c>
      <c r="N46" s="11" t="str">
        <f>IF(J46="NULL",CONCATENATE(J46,", "),CONCATENATE("tm_",J46,", "))</f>
        <v xml:space="preserve">tm_drawbar, </v>
      </c>
      <c r="O46" s="10" t="str">
        <f>CONCATENATE("  {",L46,C46,", ",D46,", ",I46,", ",M46,N46,F46,", ",G46,", ",H46,"},  // Idx ", A46)</f>
        <v xml:space="preserve">  {"Env/Perc 16", -1, -1, 96, NULL, tm_drawbar, 0, 127, 1},  // Idx 44</v>
      </c>
    </row>
    <row r="47" spans="1:15" x14ac:dyDescent="0.25">
      <c r="A47" s="16">
        <f t="shared" si="0"/>
        <v>45</v>
      </c>
      <c r="B47" s="40" t="s">
        <v>90</v>
      </c>
      <c r="C47" s="13">
        <v>-1</v>
      </c>
      <c r="D47" s="13">
        <v>-1</v>
      </c>
      <c r="E47" s="13"/>
      <c r="F47" s="3">
        <v>0</v>
      </c>
      <c r="G47" s="3">
        <v>127</v>
      </c>
      <c r="H47" s="7">
        <v>1</v>
      </c>
      <c r="I47" s="3">
        <v>97</v>
      </c>
      <c r="J47" s="7" t="s">
        <v>27</v>
      </c>
      <c r="K47" s="7" t="s">
        <v>8</v>
      </c>
      <c r="L47" s="11" t="str">
        <f t="shared" si="10"/>
        <v xml:space="preserve">"Env/Perc 5 1/3", </v>
      </c>
      <c r="M47" s="11" t="str">
        <f t="shared" si="11"/>
        <v xml:space="preserve">NULL, </v>
      </c>
      <c r="N47" s="11" t="str">
        <f>IF(J47="NULL",CONCATENATE(J47,", "),CONCATENATE("tm_",J47,", "))</f>
        <v xml:space="preserve">tm_drawbar, </v>
      </c>
      <c r="O47" s="10" t="str">
        <f>CONCATENATE("  {",L47,C47,", ",D47,", ",I47,", ",M47,N47,F47,", ",G47,", ",H47,"},  // Idx ", A47)</f>
        <v xml:space="preserve">  {"Env/Perc 5 1/3", -1, -1, 97, NULL, tm_drawbar, 0, 127, 1},  // Idx 45</v>
      </c>
    </row>
    <row r="48" spans="1:15" x14ac:dyDescent="0.25">
      <c r="A48" s="16">
        <f t="shared" si="0"/>
        <v>46</v>
      </c>
      <c r="B48" s="40" t="s">
        <v>91</v>
      </c>
      <c r="C48" s="13">
        <v>-1</v>
      </c>
      <c r="D48" s="13">
        <v>-1</v>
      </c>
      <c r="E48" s="13"/>
      <c r="F48" s="3">
        <v>0</v>
      </c>
      <c r="G48" s="3">
        <v>127</v>
      </c>
      <c r="H48" s="7">
        <v>1</v>
      </c>
      <c r="I48" s="3">
        <v>98</v>
      </c>
      <c r="J48" s="7" t="s">
        <v>27</v>
      </c>
      <c r="K48" s="7" t="s">
        <v>8</v>
      </c>
      <c r="L48" s="11" t="str">
        <f t="shared" si="10"/>
        <v xml:space="preserve">"Env/Perc 8", </v>
      </c>
      <c r="M48" s="11" t="str">
        <f t="shared" si="11"/>
        <v xml:space="preserve">NULL, </v>
      </c>
      <c r="N48" s="11" t="str">
        <f>IF(J48="NULL",CONCATENATE(J48,", "),CONCATENATE("tm_",J48,", "))</f>
        <v xml:space="preserve">tm_drawbar, </v>
      </c>
      <c r="O48" s="10" t="str">
        <f>CONCATENATE("  {",L48,C48,", ",D48,", ",I48,", ",M48,N48,F48,", ",G48,", ",H48,"},  // Idx ", A48)</f>
        <v xml:space="preserve">  {"Env/Perc 8", -1, -1, 98, NULL, tm_drawbar, 0, 127, 1},  // Idx 46</v>
      </c>
    </row>
    <row r="49" spans="1:15" x14ac:dyDescent="0.25">
      <c r="A49" s="16">
        <f t="shared" si="0"/>
        <v>47</v>
      </c>
      <c r="B49" s="40" t="s">
        <v>92</v>
      </c>
      <c r="C49" s="13">
        <v>-1</v>
      </c>
      <c r="D49" s="13">
        <v>-1</v>
      </c>
      <c r="E49" s="13"/>
      <c r="F49" s="3">
        <v>0</v>
      </c>
      <c r="G49" s="3">
        <v>127</v>
      </c>
      <c r="H49" s="7">
        <v>1</v>
      </c>
      <c r="I49" s="3">
        <v>99</v>
      </c>
      <c r="J49" s="7" t="s">
        <v>27</v>
      </c>
      <c r="K49" s="7" t="s">
        <v>8</v>
      </c>
      <c r="L49" s="11" t="str">
        <f t="shared" si="10"/>
        <v xml:space="preserve">"Env/Perc 4", </v>
      </c>
      <c r="M49" s="11" t="str">
        <f t="shared" si="11"/>
        <v xml:space="preserve">NULL, </v>
      </c>
      <c r="N49" s="11" t="str">
        <f>IF(J49="NULL",CONCATENATE(J49,", "),CONCATENATE("tm_",J49,", "))</f>
        <v xml:space="preserve">tm_drawbar, </v>
      </c>
      <c r="O49" s="10" t="str">
        <f>CONCATENATE("  {",L49,C49,", ",D49,", ",I49,", ",M49,N49,F49,", ",G49,", ",H49,"},  // Idx ", A49)</f>
        <v xml:space="preserve">  {"Env/Perc 4", -1, -1, 99, NULL, tm_drawbar, 0, 127, 1},  // Idx 47</v>
      </c>
    </row>
    <row r="50" spans="1:15" x14ac:dyDescent="0.25">
      <c r="A50" s="16">
        <f t="shared" si="0"/>
        <v>48</v>
      </c>
      <c r="B50" s="40" t="s">
        <v>93</v>
      </c>
      <c r="C50" s="13">
        <v>-1</v>
      </c>
      <c r="D50" s="13">
        <v>-1</v>
      </c>
      <c r="E50" s="13"/>
      <c r="F50" s="3">
        <v>0</v>
      </c>
      <c r="G50" s="3">
        <v>127</v>
      </c>
      <c r="H50" s="7">
        <v>1</v>
      </c>
      <c r="I50" s="3">
        <v>100</v>
      </c>
      <c r="J50" s="7" t="s">
        <v>27</v>
      </c>
      <c r="K50" s="7" t="s">
        <v>8</v>
      </c>
      <c r="L50" s="11" t="str">
        <f t="shared" si="10"/>
        <v xml:space="preserve">"Env/Perc 2 2/3", </v>
      </c>
      <c r="M50" s="11" t="str">
        <f t="shared" si="11"/>
        <v xml:space="preserve">NULL, </v>
      </c>
      <c r="N50" s="11" t="str">
        <f>IF(J50="NULL",CONCATENATE(J50,", "),CONCATENATE("tm_",J50,", "))</f>
        <v xml:space="preserve">tm_drawbar, </v>
      </c>
      <c r="O50" s="10" t="str">
        <f>CONCATENATE("  {",L50,C50,", ",D50,", ",I50,", ",M50,N50,F50,", ",G50,", ",H50,"},  // Idx ", A50)</f>
        <v xml:space="preserve">  {"Env/Perc 2 2/3", -1, -1, 100, NULL, tm_drawbar, 0, 127, 1},  // Idx 48</v>
      </c>
    </row>
    <row r="51" spans="1:15" x14ac:dyDescent="0.25">
      <c r="A51" s="16">
        <f t="shared" si="0"/>
        <v>49</v>
      </c>
      <c r="B51" s="40" t="s">
        <v>94</v>
      </c>
      <c r="C51" s="13">
        <v>-1</v>
      </c>
      <c r="D51" s="13">
        <v>-1</v>
      </c>
      <c r="E51" s="13"/>
      <c r="F51" s="3">
        <v>0</v>
      </c>
      <c r="G51" s="3">
        <v>127</v>
      </c>
      <c r="H51" s="7">
        <v>1</v>
      </c>
      <c r="I51" s="3">
        <v>101</v>
      </c>
      <c r="J51" s="7" t="s">
        <v>27</v>
      </c>
      <c r="K51" s="7" t="s">
        <v>8</v>
      </c>
      <c r="L51" s="11" t="str">
        <f t="shared" si="10"/>
        <v xml:space="preserve">"Env/Perc 2", </v>
      </c>
      <c r="M51" s="11" t="str">
        <f t="shared" si="11"/>
        <v xml:space="preserve">NULL, </v>
      </c>
      <c r="N51" s="11" t="str">
        <f>IF(J51="NULL",CONCATENATE(J51,", "),CONCATENATE("tm_",J51,", "))</f>
        <v xml:space="preserve">tm_drawbar, </v>
      </c>
      <c r="O51" s="10" t="str">
        <f>CONCATENATE("  {",L51,C51,", ",D51,", ",I51,", ",M51,N51,F51,", ",G51,", ",H51,"},  // Idx ", A51)</f>
        <v xml:space="preserve">  {"Env/Perc 2", -1, -1, 101, NULL, tm_drawbar, 0, 127, 1},  // Idx 49</v>
      </c>
    </row>
    <row r="52" spans="1:15" x14ac:dyDescent="0.25">
      <c r="A52" s="16">
        <f t="shared" si="0"/>
        <v>50</v>
      </c>
      <c r="B52" s="40" t="s">
        <v>95</v>
      </c>
      <c r="C52" s="13">
        <v>-1</v>
      </c>
      <c r="D52" s="13">
        <v>-1</v>
      </c>
      <c r="E52" s="13"/>
      <c r="F52" s="3">
        <v>0</v>
      </c>
      <c r="G52" s="3">
        <v>127</v>
      </c>
      <c r="H52" s="7">
        <v>1</v>
      </c>
      <c r="I52" s="3">
        <v>102</v>
      </c>
      <c r="J52" s="7" t="s">
        <v>27</v>
      </c>
      <c r="K52" s="7" t="s">
        <v>8</v>
      </c>
      <c r="L52" s="11" t="str">
        <f t="shared" si="10"/>
        <v xml:space="preserve">"Env/Perc 1 3/5", </v>
      </c>
      <c r="M52" s="11" t="str">
        <f t="shared" si="11"/>
        <v xml:space="preserve">NULL, </v>
      </c>
      <c r="N52" s="11" t="str">
        <f>IF(J52="NULL",CONCATENATE(J52,", "),CONCATENATE("tm_",J52,", "))</f>
        <v xml:space="preserve">tm_drawbar, </v>
      </c>
      <c r="O52" s="10" t="str">
        <f>CONCATENATE("  {",L52,C52,", ",D52,", ",I52,", ",M52,N52,F52,", ",G52,", ",H52,"},  // Idx ", A52)</f>
        <v xml:space="preserve">  {"Env/Perc 1 3/5", -1, -1, 102, NULL, tm_drawbar, 0, 127, 1},  // Idx 50</v>
      </c>
    </row>
    <row r="53" spans="1:15" x14ac:dyDescent="0.25">
      <c r="A53" s="16">
        <f t="shared" si="0"/>
        <v>51</v>
      </c>
      <c r="B53" s="40" t="s">
        <v>96</v>
      </c>
      <c r="C53" s="13">
        <v>-1</v>
      </c>
      <c r="D53" s="13">
        <v>-1</v>
      </c>
      <c r="E53" s="13"/>
      <c r="F53" s="3">
        <v>0</v>
      </c>
      <c r="G53" s="3">
        <v>127</v>
      </c>
      <c r="H53" s="7">
        <v>1</v>
      </c>
      <c r="I53" s="3">
        <v>103</v>
      </c>
      <c r="J53" s="7" t="s">
        <v>27</v>
      </c>
      <c r="K53" s="7" t="s">
        <v>8</v>
      </c>
      <c r="L53" s="11" t="str">
        <f t="shared" si="10"/>
        <v xml:space="preserve">"Env/Perc 1 1/3", </v>
      </c>
      <c r="M53" s="11" t="str">
        <f t="shared" si="11"/>
        <v xml:space="preserve">NULL, </v>
      </c>
      <c r="N53" s="11" t="str">
        <f>IF(J53="NULL",CONCATENATE(J53,", "),CONCATENATE("tm_",J53,", "))</f>
        <v xml:space="preserve">tm_drawbar, </v>
      </c>
      <c r="O53" s="10" t="str">
        <f>CONCATENATE("  {",L53,C53,", ",D53,", ",I53,", ",M53,N53,F53,", ",G53,", ",H53,"},  // Idx ", A53)</f>
        <v xml:space="preserve">  {"Env/Perc 1 1/3", -1, -1, 103, NULL, tm_drawbar, 0, 127, 1},  // Idx 51</v>
      </c>
    </row>
    <row r="54" spans="1:15" x14ac:dyDescent="0.25">
      <c r="A54" s="16">
        <f t="shared" si="0"/>
        <v>52</v>
      </c>
      <c r="B54" s="40" t="s">
        <v>97</v>
      </c>
      <c r="C54" s="13">
        <v>-1</v>
      </c>
      <c r="D54" s="13">
        <v>-1</v>
      </c>
      <c r="E54" s="13"/>
      <c r="F54" s="3">
        <v>0</v>
      </c>
      <c r="G54" s="3">
        <v>127</v>
      </c>
      <c r="H54" s="7">
        <v>1</v>
      </c>
      <c r="I54" s="3">
        <v>104</v>
      </c>
      <c r="J54" s="7" t="s">
        <v>27</v>
      </c>
      <c r="K54" s="7" t="s">
        <v>8</v>
      </c>
      <c r="L54" s="11" t="str">
        <f t="shared" si="10"/>
        <v xml:space="preserve">"Env/Perc 1", </v>
      </c>
      <c r="M54" s="11" t="str">
        <f t="shared" si="11"/>
        <v xml:space="preserve">NULL, </v>
      </c>
      <c r="N54" s="11" t="str">
        <f>IF(J54="NULL",CONCATENATE(J54,", "),CONCATENATE("tm_",J54,", "))</f>
        <v xml:space="preserve">tm_drawbar, </v>
      </c>
      <c r="O54" s="10" t="str">
        <f>CONCATENATE("  {",L54,C54,", ",D54,", ",I54,", ",M54,N54,F54,", ",G54,", ",H54,"},  // Idx ", A54)</f>
        <v xml:space="preserve">  {"Env/Perc 1", -1, -1, 104, NULL, tm_drawbar, 0, 127, 1},  // Idx 52</v>
      </c>
    </row>
    <row r="55" spans="1:15" x14ac:dyDescent="0.25">
      <c r="A55" s="16">
        <f t="shared" si="0"/>
        <v>53</v>
      </c>
      <c r="B55" s="40" t="s">
        <v>112</v>
      </c>
      <c r="C55" s="13">
        <v>-1</v>
      </c>
      <c r="D55" s="13">
        <v>-1</v>
      </c>
      <c r="E55" s="13"/>
      <c r="F55" s="3">
        <v>0</v>
      </c>
      <c r="G55" s="3">
        <v>127</v>
      </c>
      <c r="H55" s="7">
        <v>1</v>
      </c>
      <c r="I55" s="3">
        <v>105</v>
      </c>
      <c r="J55" s="7" t="s">
        <v>27</v>
      </c>
      <c r="K55" s="7" t="s">
        <v>8</v>
      </c>
      <c r="L55" s="11" t="str">
        <f t="shared" si="10"/>
        <v xml:space="preserve">"Env/Perc Mix 1", </v>
      </c>
      <c r="M55" s="11" t="str">
        <f t="shared" si="11"/>
        <v xml:space="preserve">NULL, </v>
      </c>
      <c r="N55" s="11" t="str">
        <f>IF(J55="NULL",CONCATENATE(J55,", "),CONCATENATE("tm_",J55,", "))</f>
        <v xml:space="preserve">tm_drawbar, </v>
      </c>
      <c r="O55" s="10" t="str">
        <f>CONCATENATE("  {",L55,C55,", ",D55,", ",I55,", ",M55,N55,F55,", ",G55,", ",H55,"},  // Idx ", A55)</f>
        <v xml:space="preserve">  {"Env/Perc Mix 1", -1, -1, 105, NULL, tm_drawbar, 0, 127, 1},  // Idx 53</v>
      </c>
    </row>
    <row r="56" spans="1:15" x14ac:dyDescent="0.25">
      <c r="A56" s="16">
        <f t="shared" si="0"/>
        <v>54</v>
      </c>
      <c r="B56" s="40" t="s">
        <v>113</v>
      </c>
      <c r="C56" s="13">
        <v>-1</v>
      </c>
      <c r="D56" s="13">
        <v>-1</v>
      </c>
      <c r="E56" s="13"/>
      <c r="F56" s="3">
        <v>0</v>
      </c>
      <c r="G56" s="3">
        <v>127</v>
      </c>
      <c r="H56" s="7">
        <v>1</v>
      </c>
      <c r="I56" s="3">
        <v>106</v>
      </c>
      <c r="J56" s="7" t="s">
        <v>27</v>
      </c>
      <c r="K56" s="7" t="s">
        <v>8</v>
      </c>
      <c r="L56" s="11" t="str">
        <f t="shared" si="10"/>
        <v xml:space="preserve">"Env/Perc Mix 2", </v>
      </c>
      <c r="M56" s="11" t="str">
        <f t="shared" si="11"/>
        <v xml:space="preserve">NULL, </v>
      </c>
      <c r="N56" s="11" t="str">
        <f>IF(J56="NULL",CONCATENATE(J56,", "),CONCATENATE("tm_",J56,", "))</f>
        <v xml:space="preserve">tm_drawbar, </v>
      </c>
      <c r="O56" s="10" t="str">
        <f>CONCATENATE("  {",L56,C56,", ",D56,", ",I56,", ",M56,N56,F56,", ",G56,", ",H56,"},  // Idx ", A56)</f>
        <v xml:space="preserve">  {"Env/Perc Mix 2", -1, -1, 106, NULL, tm_drawbar, 0, 127, 1},  // Idx 54</v>
      </c>
    </row>
    <row r="57" spans="1:15" x14ac:dyDescent="0.25">
      <c r="A57" s="16">
        <f t="shared" si="0"/>
        <v>55</v>
      </c>
      <c r="B57" s="40" t="s">
        <v>114</v>
      </c>
      <c r="C57" s="13">
        <v>-1</v>
      </c>
      <c r="D57" s="13">
        <v>-1</v>
      </c>
      <c r="E57" s="13"/>
      <c r="F57" s="3">
        <v>0</v>
      </c>
      <c r="G57" s="3">
        <v>127</v>
      </c>
      <c r="H57" s="7">
        <v>1</v>
      </c>
      <c r="I57" s="3">
        <v>107</v>
      </c>
      <c r="J57" s="7" t="s">
        <v>27</v>
      </c>
      <c r="K57" s="7" t="s">
        <v>8</v>
      </c>
      <c r="L57" s="11" t="str">
        <f t="shared" si="10"/>
        <v xml:space="preserve">"Env/Perc Mix 3", </v>
      </c>
      <c r="M57" s="11" t="str">
        <f t="shared" si="11"/>
        <v xml:space="preserve">NULL, </v>
      </c>
      <c r="N57" s="11" t="str">
        <f>IF(J57="NULL",CONCATENATE(J57,", "),CONCATENATE("tm_",J57,", "))</f>
        <v xml:space="preserve">tm_drawbar, </v>
      </c>
      <c r="O57" s="10" t="str">
        <f>CONCATENATE("  {",L57,C57,", ",D57,", ",I57,", ",M57,N57,F57,", ",G57,", ",H57,"},  // Idx ", A57)</f>
        <v xml:space="preserve">  {"Env/Perc Mix 3", -1, -1, 107, NULL, tm_drawbar, 0, 127, 1},  // Idx 55</v>
      </c>
    </row>
    <row r="58" spans="1:15" x14ac:dyDescent="0.25">
      <c r="A58" s="16">
        <f t="shared" si="0"/>
        <v>56</v>
      </c>
      <c r="B58" s="40" t="s">
        <v>107</v>
      </c>
      <c r="C58" s="13">
        <v>-1</v>
      </c>
      <c r="D58" s="13">
        <v>-1</v>
      </c>
      <c r="E58" s="13"/>
      <c r="F58" s="3">
        <v>0</v>
      </c>
      <c r="G58" s="3">
        <v>127</v>
      </c>
      <c r="H58" s="7">
        <v>1</v>
      </c>
      <c r="I58" s="3">
        <v>107</v>
      </c>
      <c r="J58" s="7" t="s">
        <v>146</v>
      </c>
      <c r="K58" s="7" t="s">
        <v>8</v>
      </c>
      <c r="L58" s="11" t="str">
        <f t="shared" si="10"/>
        <v xml:space="preserve">"Attack", </v>
      </c>
      <c r="M58" s="11" t="str">
        <f t="shared" si="11"/>
        <v xml:space="preserve">NULL, </v>
      </c>
      <c r="N58" s="11" t="str">
        <f>IF(J58="NULL",CONCATENATE(J58,", "),CONCATENATE("tm_",J58,", "))</f>
        <v xml:space="preserve">tm_pot, </v>
      </c>
      <c r="O58" s="10" t="str">
        <f>CONCATENATE("  {",L58,C58,", ",D58,", ",I58,", ",M58,N58,F58,", ",G58,", ",H58,"},  // Idx ", A58)</f>
        <v xml:space="preserve">  {"Attack", -1, -1, 107, NULL, tm_pot, 0, 127, 1},  // Idx 56</v>
      </c>
    </row>
    <row r="59" spans="1:15" x14ac:dyDescent="0.25">
      <c r="A59" s="16">
        <f t="shared" si="0"/>
        <v>57</v>
      </c>
      <c r="B59" s="40" t="s">
        <v>108</v>
      </c>
      <c r="C59" s="13">
        <v>-1</v>
      </c>
      <c r="D59" s="13">
        <v>-1</v>
      </c>
      <c r="E59" s="13"/>
      <c r="F59" s="3">
        <v>0</v>
      </c>
      <c r="G59" s="3">
        <v>127</v>
      </c>
      <c r="H59" s="7">
        <v>1</v>
      </c>
      <c r="I59" s="3">
        <v>107</v>
      </c>
      <c r="J59" s="7" t="s">
        <v>146</v>
      </c>
      <c r="K59" s="7" t="s">
        <v>8</v>
      </c>
      <c r="L59" s="11" t="str">
        <f t="shared" si="10"/>
        <v xml:space="preserve">"Decay", </v>
      </c>
      <c r="M59" s="11" t="str">
        <f t="shared" si="11"/>
        <v xml:space="preserve">NULL, </v>
      </c>
      <c r="N59" s="11" t="str">
        <f>IF(J59="NULL",CONCATENATE(J59,", "),CONCATENATE("tm_",J59,", "))</f>
        <v xml:space="preserve">tm_pot, </v>
      </c>
      <c r="O59" s="10" t="str">
        <f>CONCATENATE("  {",L59,C59,", ",D59,", ",I59,", ",M59,N59,F59,", ",G59,", ",H59,"},  // Idx ", A59)</f>
        <v xml:space="preserve">  {"Decay", -1, -1, 107, NULL, tm_pot, 0, 127, 1},  // Idx 57</v>
      </c>
    </row>
    <row r="60" spans="1:15" x14ac:dyDescent="0.25">
      <c r="A60" s="16">
        <f t="shared" si="0"/>
        <v>58</v>
      </c>
      <c r="B60" s="40" t="s">
        <v>109</v>
      </c>
      <c r="C60" s="13">
        <v>-1</v>
      </c>
      <c r="D60" s="13">
        <v>-1</v>
      </c>
      <c r="E60" s="13"/>
      <c r="F60" s="3">
        <v>0</v>
      </c>
      <c r="G60" s="3">
        <v>127</v>
      </c>
      <c r="H60" s="7">
        <v>1</v>
      </c>
      <c r="I60" s="3">
        <v>107</v>
      </c>
      <c r="J60" s="7" t="s">
        <v>146</v>
      </c>
      <c r="K60" s="7" t="s">
        <v>8</v>
      </c>
      <c r="L60" s="11" t="str">
        <f t="shared" si="10"/>
        <v xml:space="preserve">"Sustain", </v>
      </c>
      <c r="M60" s="11" t="str">
        <f t="shared" si="11"/>
        <v xml:space="preserve">NULL, </v>
      </c>
      <c r="N60" s="11" t="str">
        <f>IF(J60="NULL",CONCATENATE(J60,", "),CONCATENATE("tm_",J60,", "))</f>
        <v xml:space="preserve">tm_pot, </v>
      </c>
      <c r="O60" s="10" t="str">
        <f>CONCATENATE("  {",L60,C60,", ",D60,", ",I60,", ",M60,N60,F60,", ",G60,", ",H60,"},  // Idx ", A60)</f>
        <v xml:space="preserve">  {"Sustain", -1, -1, 107, NULL, tm_pot, 0, 127, 1},  // Idx 58</v>
      </c>
    </row>
    <row r="61" spans="1:15" x14ac:dyDescent="0.25">
      <c r="A61" s="16">
        <f t="shared" si="0"/>
        <v>59</v>
      </c>
      <c r="B61" s="40" t="s">
        <v>110</v>
      </c>
      <c r="C61" s="13">
        <v>-1</v>
      </c>
      <c r="D61" s="13">
        <v>-1</v>
      </c>
      <c r="E61" s="13"/>
      <c r="F61" s="3">
        <v>0</v>
      </c>
      <c r="G61" s="3">
        <v>127</v>
      </c>
      <c r="H61" s="7">
        <v>1</v>
      </c>
      <c r="I61" s="3">
        <v>107</v>
      </c>
      <c r="J61" s="7" t="s">
        <v>146</v>
      </c>
      <c r="K61" s="7" t="s">
        <v>8</v>
      </c>
      <c r="L61" s="11" t="str">
        <f t="shared" si="10"/>
        <v xml:space="preserve">"Release", </v>
      </c>
      <c r="M61" s="11" t="str">
        <f t="shared" si="11"/>
        <v xml:space="preserve">NULL, </v>
      </c>
      <c r="N61" s="11" t="str">
        <f>IF(J61="NULL",CONCATENATE(J61,", "),CONCATENATE("tm_",J61,", "))</f>
        <v xml:space="preserve">tm_pot, </v>
      </c>
      <c r="O61" s="10" t="str">
        <f>CONCATENATE("  {",L61,C61,", ",D61,", ",I61,", ",M61,N61,F61,", ",G61,", ",H61,"},  // Idx ", A61)</f>
        <v xml:space="preserve">  {"Release", -1, -1, 107, NULL, tm_pot, 0, 127, 1},  // Idx 59</v>
      </c>
    </row>
    <row r="62" spans="1:15" x14ac:dyDescent="0.25">
      <c r="A62" s="16">
        <f t="shared" si="0"/>
        <v>60</v>
      </c>
      <c r="B62" s="40" t="s">
        <v>111</v>
      </c>
      <c r="C62" s="13">
        <v>-1</v>
      </c>
      <c r="D62" s="13">
        <v>-1</v>
      </c>
      <c r="E62" s="13"/>
      <c r="F62" s="3">
        <v>0</v>
      </c>
      <c r="G62" s="3">
        <v>127</v>
      </c>
      <c r="H62" s="7">
        <v>1</v>
      </c>
      <c r="I62" s="3">
        <v>107</v>
      </c>
      <c r="J62" s="7" t="s">
        <v>146</v>
      </c>
      <c r="K62" s="7" t="s">
        <v>8</v>
      </c>
      <c r="L62" s="11" t="str">
        <f t="shared" si="10"/>
        <v xml:space="preserve">"ADSR Harmonic", </v>
      </c>
      <c r="M62" s="11" t="str">
        <f t="shared" si="11"/>
        <v xml:space="preserve">NULL, </v>
      </c>
      <c r="N62" s="11" t="str">
        <f>IF(J62="NULL",CONCATENATE(J62,", "),CONCATENATE("tm_",J62,", "))</f>
        <v xml:space="preserve">tm_pot, </v>
      </c>
      <c r="O62" s="10" t="str">
        <f>CONCATENATE("  {",L62,C62,", ",D62,", ",I62,", ",M62,N62,F62,", ",G62,", ",H62,"},  // Idx ", A62)</f>
        <v xml:space="preserve">  {"ADSR Harmonic", -1, -1, 107, NULL, tm_pot, 0, 127, 1},  // Idx 60</v>
      </c>
    </row>
    <row r="63" spans="1:15" x14ac:dyDescent="0.25">
      <c r="A63" s="16">
        <f t="shared" ref="A63:A124" si="12">A62+1</f>
        <v>61</v>
      </c>
      <c r="B63" s="40" t="s">
        <v>98</v>
      </c>
      <c r="C63" s="13">
        <v>-1</v>
      </c>
      <c r="D63" s="13">
        <v>-1</v>
      </c>
      <c r="E63" s="13"/>
      <c r="F63" s="3">
        <v>0</v>
      </c>
      <c r="G63" s="3">
        <v>1</v>
      </c>
      <c r="H63" s="7">
        <v>1</v>
      </c>
      <c r="I63" s="3">
        <v>160</v>
      </c>
      <c r="J63" s="7" t="s">
        <v>28</v>
      </c>
      <c r="K63" s="7" t="s">
        <v>8</v>
      </c>
      <c r="L63" s="11" t="str">
        <f t="shared" si="10"/>
        <v xml:space="preserve">"ADSR on 16", </v>
      </c>
      <c r="M63" s="11" t="str">
        <f t="shared" si="11"/>
        <v xml:space="preserve">NULL, </v>
      </c>
      <c r="N63" s="11" t="str">
        <f>IF(J63="NULL",CONCATENATE(J63,", "),CONCATENATE("tm_",J63,", "))</f>
        <v xml:space="preserve">tm_tab, </v>
      </c>
      <c r="O63" s="10" t="str">
        <f>CONCATENATE("  {",L63,C63,", ",D63,", ",I63,", ",M63,N63,F63,", ",G63,", ",H63,"},  // Idx ", A63)</f>
        <v xml:space="preserve">  {"ADSR on 16", -1, -1, 160, NULL, tm_tab, 0, 1, 1},  // Idx 61</v>
      </c>
    </row>
    <row r="64" spans="1:15" x14ac:dyDescent="0.25">
      <c r="A64" s="16">
        <f t="shared" si="12"/>
        <v>62</v>
      </c>
      <c r="B64" s="40" t="s">
        <v>99</v>
      </c>
      <c r="C64" s="13">
        <v>-1</v>
      </c>
      <c r="D64" s="13">
        <v>-1</v>
      </c>
      <c r="E64" s="13"/>
      <c r="F64" s="3">
        <v>0</v>
      </c>
      <c r="G64" s="3">
        <v>1</v>
      </c>
      <c r="H64" s="7">
        <v>1</v>
      </c>
      <c r="I64" s="3">
        <v>161</v>
      </c>
      <c r="J64" s="7" t="s">
        <v>28</v>
      </c>
      <c r="K64" s="7" t="s">
        <v>8</v>
      </c>
      <c r="L64" s="11" t="str">
        <f t="shared" si="10"/>
        <v xml:space="preserve">"ADSR on 5 1/3", </v>
      </c>
      <c r="M64" s="11" t="str">
        <f t="shared" si="11"/>
        <v xml:space="preserve">NULL, </v>
      </c>
      <c r="N64" s="11" t="str">
        <f>IF(J64="NULL",CONCATENATE(J64,", "),CONCATENATE("tm_",J64,", "))</f>
        <v xml:space="preserve">tm_tab, </v>
      </c>
      <c r="O64" s="10" t="str">
        <f>CONCATENATE("  {",L64,C64,", ",D64,", ",I64,", ",M64,N64,F64,", ",G64,", ",H64,"},  // Idx ", A64)</f>
        <v xml:space="preserve">  {"ADSR on 5 1/3", -1, -1, 161, NULL, tm_tab, 0, 1, 1},  // Idx 62</v>
      </c>
    </row>
    <row r="65" spans="1:15" x14ac:dyDescent="0.25">
      <c r="A65" s="16">
        <f t="shared" si="12"/>
        <v>63</v>
      </c>
      <c r="B65" s="40" t="s">
        <v>100</v>
      </c>
      <c r="C65" s="13">
        <v>-1</v>
      </c>
      <c r="D65" s="13">
        <v>-1</v>
      </c>
      <c r="E65" s="13"/>
      <c r="F65" s="3">
        <v>0</v>
      </c>
      <c r="G65" s="3">
        <v>1</v>
      </c>
      <c r="H65" s="7">
        <v>1</v>
      </c>
      <c r="I65" s="3">
        <v>162</v>
      </c>
      <c r="J65" s="7" t="s">
        <v>28</v>
      </c>
      <c r="K65" s="7" t="s">
        <v>8</v>
      </c>
      <c r="L65" s="11" t="str">
        <f t="shared" si="10"/>
        <v xml:space="preserve">"ADSR on 8", </v>
      </c>
      <c r="M65" s="11" t="str">
        <f t="shared" si="11"/>
        <v xml:space="preserve">NULL, </v>
      </c>
      <c r="N65" s="11" t="str">
        <f>IF(J65="NULL",CONCATENATE(J65,", "),CONCATENATE("tm_",J65,", "))</f>
        <v xml:space="preserve">tm_tab, </v>
      </c>
      <c r="O65" s="10" t="str">
        <f>CONCATENATE("  {",L65,C65,", ",D65,", ",I65,", ",M65,N65,F65,", ",G65,", ",H65,"},  // Idx ", A65)</f>
        <v xml:space="preserve">  {"ADSR on 8", -1, -1, 162, NULL, tm_tab, 0, 1, 1},  // Idx 63</v>
      </c>
    </row>
    <row r="66" spans="1:15" x14ac:dyDescent="0.25">
      <c r="A66" s="16">
        <f t="shared" si="12"/>
        <v>64</v>
      </c>
      <c r="B66" s="40" t="s">
        <v>101</v>
      </c>
      <c r="C66" s="13">
        <v>-1</v>
      </c>
      <c r="D66" s="13">
        <v>-1</v>
      </c>
      <c r="E66" s="13"/>
      <c r="F66" s="3">
        <v>0</v>
      </c>
      <c r="G66" s="3">
        <v>1</v>
      </c>
      <c r="H66" s="7">
        <v>1</v>
      </c>
      <c r="I66" s="3">
        <v>163</v>
      </c>
      <c r="J66" s="7" t="s">
        <v>28</v>
      </c>
      <c r="K66" s="7" t="s">
        <v>8</v>
      </c>
      <c r="L66" s="11" t="str">
        <f t="shared" si="10"/>
        <v xml:space="preserve">"ADSR on 4", </v>
      </c>
      <c r="M66" s="11" t="str">
        <f t="shared" si="11"/>
        <v xml:space="preserve">NULL, </v>
      </c>
      <c r="N66" s="11" t="str">
        <f>IF(J66="NULL",CONCATENATE(J66,", "),CONCATENATE("tm_",J66,", "))</f>
        <v xml:space="preserve">tm_tab, </v>
      </c>
      <c r="O66" s="10" t="str">
        <f>CONCATENATE("  {",L66,C66,", ",D66,", ",I66,", ",M66,N66,F66,", ",G66,", ",H66,"},  // Idx ", A66)</f>
        <v xml:space="preserve">  {"ADSR on 4", -1, -1, 163, NULL, tm_tab, 0, 1, 1},  // Idx 64</v>
      </c>
    </row>
    <row r="67" spans="1:15" x14ac:dyDescent="0.25">
      <c r="A67" s="16">
        <f t="shared" si="12"/>
        <v>65</v>
      </c>
      <c r="B67" s="40" t="s">
        <v>102</v>
      </c>
      <c r="C67" s="13">
        <v>-1</v>
      </c>
      <c r="D67" s="13">
        <v>-1</v>
      </c>
      <c r="E67" s="13"/>
      <c r="F67" s="3">
        <v>0</v>
      </c>
      <c r="G67" s="3">
        <v>1</v>
      </c>
      <c r="H67" s="7">
        <v>1</v>
      </c>
      <c r="I67" s="3">
        <v>164</v>
      </c>
      <c r="J67" s="7" t="s">
        <v>28</v>
      </c>
      <c r="K67" s="7" t="s">
        <v>8</v>
      </c>
      <c r="L67" s="11" t="str">
        <f t="shared" si="10"/>
        <v xml:space="preserve">"ADSR on 2 2/3", </v>
      </c>
      <c r="M67" s="11" t="str">
        <f t="shared" si="11"/>
        <v xml:space="preserve">NULL, </v>
      </c>
      <c r="N67" s="11" t="str">
        <f>IF(J67="NULL",CONCATENATE(J67,", "),CONCATENATE("tm_",J67,", "))</f>
        <v xml:space="preserve">tm_tab, </v>
      </c>
      <c r="O67" s="10" t="str">
        <f>CONCATENATE("  {",L67,C67,", ",D67,", ",I67,", ",M67,N67,F67,", ",G67,", ",H67,"},  // Idx ", A67)</f>
        <v xml:space="preserve">  {"ADSR on 2 2/3", -1, -1, 164, NULL, tm_tab, 0, 1, 1},  // Idx 65</v>
      </c>
    </row>
    <row r="68" spans="1:15" x14ac:dyDescent="0.25">
      <c r="A68" s="16">
        <f t="shared" si="12"/>
        <v>66</v>
      </c>
      <c r="B68" s="40" t="s">
        <v>103</v>
      </c>
      <c r="C68" s="13">
        <v>-1</v>
      </c>
      <c r="D68" s="13">
        <v>-1</v>
      </c>
      <c r="E68" s="13"/>
      <c r="F68" s="3">
        <v>0</v>
      </c>
      <c r="G68" s="3">
        <v>1</v>
      </c>
      <c r="H68" s="7">
        <v>1</v>
      </c>
      <c r="I68" s="3">
        <v>165</v>
      </c>
      <c r="J68" s="7" t="s">
        <v>28</v>
      </c>
      <c r="K68" s="7" t="s">
        <v>8</v>
      </c>
      <c r="L68" s="11" t="str">
        <f t="shared" si="10"/>
        <v xml:space="preserve">"ADSR on 2", </v>
      </c>
      <c r="M68" s="11" t="str">
        <f t="shared" si="11"/>
        <v xml:space="preserve">NULL, </v>
      </c>
      <c r="N68" s="11" t="str">
        <f>IF(J68="NULL",CONCATENATE(J68,", "),CONCATENATE("tm_",J68,", "))</f>
        <v xml:space="preserve">tm_tab, </v>
      </c>
      <c r="O68" s="10" t="str">
        <f>CONCATENATE("  {",L68,C68,", ",D68,", ",I68,", ",M68,N68,F68,", ",G68,", ",H68,"},  // Idx ", A68)</f>
        <v xml:space="preserve">  {"ADSR on 2", -1, -1, 165, NULL, tm_tab, 0, 1, 1},  // Idx 66</v>
      </c>
    </row>
    <row r="69" spans="1:15" x14ac:dyDescent="0.25">
      <c r="A69" s="16">
        <f t="shared" si="12"/>
        <v>67</v>
      </c>
      <c r="B69" s="40" t="s">
        <v>104</v>
      </c>
      <c r="C69" s="13">
        <v>-1</v>
      </c>
      <c r="D69" s="13">
        <v>-1</v>
      </c>
      <c r="E69" s="13"/>
      <c r="F69" s="3">
        <v>0</v>
      </c>
      <c r="G69" s="3">
        <v>1</v>
      </c>
      <c r="H69" s="7">
        <v>1</v>
      </c>
      <c r="I69" s="3">
        <v>166</v>
      </c>
      <c r="J69" s="7" t="s">
        <v>28</v>
      </c>
      <c r="K69" s="7" t="s">
        <v>8</v>
      </c>
      <c r="L69" s="11" t="str">
        <f t="shared" si="10"/>
        <v xml:space="preserve">"ADSR on 1 3/5", </v>
      </c>
      <c r="M69" s="11" t="str">
        <f t="shared" si="11"/>
        <v xml:space="preserve">NULL, </v>
      </c>
      <c r="N69" s="11" t="str">
        <f>IF(J69="NULL",CONCATENATE(J69,", "),CONCATENATE("tm_",J69,", "))</f>
        <v xml:space="preserve">tm_tab, </v>
      </c>
      <c r="O69" s="10" t="str">
        <f>CONCATENATE("  {",L69,C69,", ",D69,", ",I69,", ",M69,N69,F69,", ",G69,", ",H69,"},  // Idx ", A69)</f>
        <v xml:space="preserve">  {"ADSR on 1 3/5", -1, -1, 166, NULL, tm_tab, 0, 1, 1},  // Idx 67</v>
      </c>
    </row>
    <row r="70" spans="1:15" x14ac:dyDescent="0.25">
      <c r="A70" s="16">
        <f t="shared" si="12"/>
        <v>68</v>
      </c>
      <c r="B70" s="40" t="s">
        <v>105</v>
      </c>
      <c r="C70" s="13">
        <v>-1</v>
      </c>
      <c r="D70" s="13">
        <v>-1</v>
      </c>
      <c r="E70" s="13"/>
      <c r="F70" s="3">
        <v>0</v>
      </c>
      <c r="G70" s="3">
        <v>1</v>
      </c>
      <c r="H70" s="7">
        <v>1</v>
      </c>
      <c r="I70" s="3">
        <v>167</v>
      </c>
      <c r="J70" s="7" t="s">
        <v>28</v>
      </c>
      <c r="K70" s="7" t="s">
        <v>8</v>
      </c>
      <c r="L70" s="11" t="str">
        <f t="shared" si="10"/>
        <v xml:space="preserve">"ADSR on 1 1/3", </v>
      </c>
      <c r="M70" s="11" t="str">
        <f t="shared" si="11"/>
        <v xml:space="preserve">NULL, </v>
      </c>
      <c r="N70" s="11" t="str">
        <f>IF(J70="NULL",CONCATENATE(J70,", "),CONCATENATE("tm_",J70,", "))</f>
        <v xml:space="preserve">tm_tab, </v>
      </c>
      <c r="O70" s="10" t="str">
        <f>CONCATENATE("  {",L70,C70,", ",D70,", ",I70,", ",M70,N70,F70,", ",G70,", ",H70,"},  // Idx ", A70)</f>
        <v xml:space="preserve">  {"ADSR on 1 1/3", -1, -1, 167, NULL, tm_tab, 0, 1, 1},  // Idx 68</v>
      </c>
    </row>
    <row r="71" spans="1:15" x14ac:dyDescent="0.25">
      <c r="A71" s="16">
        <f t="shared" si="12"/>
        <v>69</v>
      </c>
      <c r="B71" s="40" t="s">
        <v>106</v>
      </c>
      <c r="C71" s="13">
        <v>-1</v>
      </c>
      <c r="D71" s="13">
        <v>-1</v>
      </c>
      <c r="E71" s="13"/>
      <c r="F71" s="3">
        <v>0</v>
      </c>
      <c r="G71" s="3">
        <v>1</v>
      </c>
      <c r="H71" s="7">
        <v>1</v>
      </c>
      <c r="I71" s="3">
        <v>168</v>
      </c>
      <c r="J71" s="7" t="s">
        <v>28</v>
      </c>
      <c r="K71" s="7" t="s">
        <v>8</v>
      </c>
      <c r="L71" s="11" t="str">
        <f t="shared" si="10"/>
        <v xml:space="preserve">"ADSR on 1", </v>
      </c>
      <c r="M71" s="11" t="str">
        <f t="shared" si="11"/>
        <v xml:space="preserve">NULL, </v>
      </c>
      <c r="N71" s="11" t="str">
        <f>IF(J71="NULL",CONCATENATE(J71,", "),CONCATENATE("tm_",J71,", "))</f>
        <v xml:space="preserve">tm_tab, </v>
      </c>
      <c r="O71" s="10" t="str">
        <f>CONCATENATE("  {",L71,C71,", ",D71,", ",I71,", ",M71,N71,F71,", ",G71,", ",H71,"},  // Idx ", A71)</f>
        <v xml:space="preserve">  {"ADSR on 1", -1, -1, 168, NULL, tm_tab, 0, 1, 1},  // Idx 69</v>
      </c>
    </row>
    <row r="72" spans="1:15" x14ac:dyDescent="0.25">
      <c r="A72" s="16">
        <f t="shared" si="12"/>
        <v>70</v>
      </c>
      <c r="B72" s="40" t="s">
        <v>115</v>
      </c>
      <c r="C72" s="13">
        <v>-1</v>
      </c>
      <c r="D72" s="13">
        <v>-1</v>
      </c>
      <c r="E72" s="13"/>
      <c r="F72" s="3">
        <v>0</v>
      </c>
      <c r="G72" s="3">
        <v>1</v>
      </c>
      <c r="H72" s="7">
        <v>1</v>
      </c>
      <c r="I72" s="3">
        <v>169</v>
      </c>
      <c r="J72" s="7" t="s">
        <v>28</v>
      </c>
      <c r="K72" s="7" t="s">
        <v>8</v>
      </c>
      <c r="L72" s="11" t="str">
        <f t="shared" si="10"/>
        <v xml:space="preserve">"ADSR on Mix 1", </v>
      </c>
      <c r="M72" s="11" t="str">
        <f t="shared" si="11"/>
        <v xml:space="preserve">NULL, </v>
      </c>
      <c r="N72" s="11" t="str">
        <f>IF(J72="NULL",CONCATENATE(J72,", "),CONCATENATE("tm_",J72,", "))</f>
        <v xml:space="preserve">tm_tab, </v>
      </c>
      <c r="O72" s="10" t="str">
        <f>CONCATENATE("  {",L72,C72,", ",D72,", ",I72,", ",M72,N72,F72,", ",G72,", ",H72,"},  // Idx ", A72)</f>
        <v xml:space="preserve">  {"ADSR on Mix 1", -1, -1, 169, NULL, tm_tab, 0, 1, 1},  // Idx 70</v>
      </c>
    </row>
    <row r="73" spans="1:15" x14ac:dyDescent="0.25">
      <c r="A73" s="16">
        <f t="shared" si="12"/>
        <v>71</v>
      </c>
      <c r="B73" s="40" t="s">
        <v>116</v>
      </c>
      <c r="C73" s="13">
        <v>-1</v>
      </c>
      <c r="D73" s="13">
        <v>-1</v>
      </c>
      <c r="E73" s="13"/>
      <c r="F73" s="3">
        <v>0</v>
      </c>
      <c r="G73" s="3">
        <v>1</v>
      </c>
      <c r="H73" s="7">
        <v>1</v>
      </c>
      <c r="I73" s="3">
        <v>170</v>
      </c>
      <c r="J73" s="7" t="s">
        <v>28</v>
      </c>
      <c r="K73" s="7" t="s">
        <v>8</v>
      </c>
      <c r="L73" s="11" t="str">
        <f t="shared" si="10"/>
        <v xml:space="preserve">"ADSR on Mix 2", </v>
      </c>
      <c r="M73" s="11" t="str">
        <f t="shared" si="11"/>
        <v xml:space="preserve">NULL, </v>
      </c>
      <c r="N73" s="11" t="str">
        <f>IF(J73="NULL",CONCATENATE(J73,", "),CONCATENATE("tm_",J73,", "))</f>
        <v xml:space="preserve">tm_tab, </v>
      </c>
      <c r="O73" s="10" t="str">
        <f>CONCATENATE("  {",L73,C73,", ",D73,", ",I73,", ",M73,N73,F73,", ",G73,", ",H73,"},  // Idx ", A73)</f>
        <v xml:space="preserve">  {"ADSR on Mix 2", -1, -1, 170, NULL, tm_tab, 0, 1, 1},  // Idx 71</v>
      </c>
    </row>
    <row r="74" spans="1:15" x14ac:dyDescent="0.25">
      <c r="A74" s="16">
        <f t="shared" si="12"/>
        <v>72</v>
      </c>
      <c r="B74" s="40" t="s">
        <v>117</v>
      </c>
      <c r="C74" s="13">
        <v>-1</v>
      </c>
      <c r="D74" s="13">
        <v>-1</v>
      </c>
      <c r="E74" s="13"/>
      <c r="F74" s="3">
        <v>0</v>
      </c>
      <c r="G74" s="3">
        <v>1</v>
      </c>
      <c r="H74" s="7">
        <v>1</v>
      </c>
      <c r="I74" s="3">
        <v>171</v>
      </c>
      <c r="J74" s="7" t="s">
        <v>28</v>
      </c>
      <c r="K74" s="7" t="s">
        <v>8</v>
      </c>
      <c r="L74" s="11" t="str">
        <f t="shared" si="10"/>
        <v xml:space="preserve">"ADSR on Mix 3", </v>
      </c>
      <c r="M74" s="11" t="str">
        <f t="shared" si="11"/>
        <v xml:space="preserve">NULL, </v>
      </c>
      <c r="N74" s="11" t="str">
        <f>IF(J74="NULL",CONCATENATE(J74,", "),CONCATENATE("tm_",J74,", "))</f>
        <v xml:space="preserve">tm_tab, </v>
      </c>
      <c r="O74" s="10" t="str">
        <f>CONCATENATE("  {",L74,C74,", ",D74,", ",I74,", ",M74,N74,F74,", ",G74,", ",H74,"},  // Idx ", A74)</f>
        <v xml:space="preserve">  {"ADSR on Mix 3", -1, -1, 171, NULL, tm_tab, 0, 1, 1},  // Idx 72</v>
      </c>
    </row>
    <row r="75" spans="1:15" x14ac:dyDescent="0.25">
      <c r="A75" s="16">
        <f t="shared" si="12"/>
        <v>73</v>
      </c>
      <c r="B75" s="9" t="s">
        <v>67</v>
      </c>
      <c r="C75" s="13">
        <v>-1</v>
      </c>
      <c r="D75" s="13">
        <v>-1</v>
      </c>
      <c r="E75" s="13"/>
      <c r="F75" s="3">
        <v>0</v>
      </c>
      <c r="G75" s="3">
        <v>127</v>
      </c>
      <c r="H75" s="7">
        <v>0</v>
      </c>
      <c r="I75" s="3">
        <v>16</v>
      </c>
      <c r="J75" s="7" t="s">
        <v>27</v>
      </c>
      <c r="K75" s="7" t="s">
        <v>8</v>
      </c>
      <c r="L75" s="11" t="str">
        <f t="shared" si="8"/>
        <v xml:space="preserve">"Drawbar 16", </v>
      </c>
      <c r="M75" s="11" t="str">
        <f t="shared" si="9"/>
        <v xml:space="preserve">NULL, </v>
      </c>
      <c r="N75" s="11" t="str">
        <f>IF(J75="NULL",CONCATENATE(J75,", "),CONCATENATE("tm_",J75,", "))</f>
        <v xml:space="preserve">tm_drawbar, </v>
      </c>
      <c r="O75" s="10" t="str">
        <f>CONCATENATE("  {",L75,C75,", ",D75,", ",I75,", ",M75,N75,F75,", ",G75,", ",H75,"},  // Idx ", A75)</f>
        <v xml:space="preserve">  {"Drawbar 16", -1, -1, 16, NULL, tm_drawbar, 0, 127, 0},  // Idx 73</v>
      </c>
    </row>
    <row r="76" spans="1:15" x14ac:dyDescent="0.25">
      <c r="A76" s="16">
        <f t="shared" si="12"/>
        <v>74</v>
      </c>
      <c r="B76" s="9" t="s">
        <v>68</v>
      </c>
      <c r="C76" s="13">
        <v>-1</v>
      </c>
      <c r="D76" s="13">
        <v>-1</v>
      </c>
      <c r="E76" s="13"/>
      <c r="F76" s="3">
        <v>0</v>
      </c>
      <c r="G76" s="3">
        <v>127</v>
      </c>
      <c r="H76" s="7">
        <v>0</v>
      </c>
      <c r="I76" s="3">
        <v>17</v>
      </c>
      <c r="J76" s="7" t="s">
        <v>27</v>
      </c>
      <c r="K76" s="7" t="s">
        <v>8</v>
      </c>
      <c r="L76" s="11" t="str">
        <f t="shared" si="8"/>
        <v xml:space="preserve">"Drawbar 5 1/3", </v>
      </c>
      <c r="M76" s="11" t="str">
        <f t="shared" si="9"/>
        <v xml:space="preserve">NULL, </v>
      </c>
      <c r="N76" s="11" t="str">
        <f>IF(J76="NULL",CONCATENATE(J76,", "),CONCATENATE("tm_",J76,", "))</f>
        <v xml:space="preserve">tm_drawbar, </v>
      </c>
      <c r="O76" s="10" t="str">
        <f>CONCATENATE("  {",L76,C76,", ",D76,", ",I76,", ",M76,N76,F76,", ",G76,", ",H76,"},  // Idx ", A76)</f>
        <v xml:space="preserve">  {"Drawbar 5 1/3", -1, -1, 17, NULL, tm_drawbar, 0, 127, 0},  // Idx 74</v>
      </c>
    </row>
    <row r="77" spans="1:15" x14ac:dyDescent="0.25">
      <c r="A77" s="16">
        <f t="shared" si="12"/>
        <v>75</v>
      </c>
      <c r="B77" s="9" t="s">
        <v>69</v>
      </c>
      <c r="C77" s="13">
        <v>-1</v>
      </c>
      <c r="D77" s="13">
        <v>-1</v>
      </c>
      <c r="E77" s="13"/>
      <c r="F77" s="3">
        <v>0</v>
      </c>
      <c r="G77" s="3">
        <v>127</v>
      </c>
      <c r="H77" s="7">
        <v>0</v>
      </c>
      <c r="I77" s="3">
        <v>18</v>
      </c>
      <c r="J77" s="7" t="s">
        <v>27</v>
      </c>
      <c r="K77" s="7" t="s">
        <v>8</v>
      </c>
      <c r="L77" s="11" t="str">
        <f t="shared" si="8"/>
        <v xml:space="preserve">"Drawbar 8", </v>
      </c>
      <c r="M77" s="11" t="str">
        <f t="shared" si="9"/>
        <v xml:space="preserve">NULL, </v>
      </c>
      <c r="N77" s="11" t="str">
        <f>IF(J77="NULL",CONCATENATE(J77,", "),CONCATENATE("tm_",J77,", "))</f>
        <v xml:space="preserve">tm_drawbar, </v>
      </c>
      <c r="O77" s="10" t="str">
        <f>CONCATENATE("  {",L77,C77,", ",D77,", ",I77,", ",M77,N77,F77,", ",G77,", ",H77,"},  // Idx ", A77)</f>
        <v xml:space="preserve">  {"Drawbar 8", -1, -1, 18, NULL, tm_drawbar, 0, 127, 0},  // Idx 75</v>
      </c>
    </row>
    <row r="78" spans="1:15" x14ac:dyDescent="0.25">
      <c r="A78" s="16">
        <f t="shared" si="12"/>
        <v>76</v>
      </c>
      <c r="B78" s="9" t="s">
        <v>70</v>
      </c>
      <c r="C78" s="13">
        <v>-1</v>
      </c>
      <c r="D78" s="13">
        <v>-1</v>
      </c>
      <c r="E78" s="13"/>
      <c r="F78" s="3">
        <v>0</v>
      </c>
      <c r="G78" s="3">
        <v>127</v>
      </c>
      <c r="H78" s="7">
        <v>0</v>
      </c>
      <c r="I78" s="3">
        <v>19</v>
      </c>
      <c r="J78" s="7" t="s">
        <v>27</v>
      </c>
      <c r="K78" s="7" t="s">
        <v>8</v>
      </c>
      <c r="L78" s="11" t="str">
        <f t="shared" si="8"/>
        <v xml:space="preserve">"Drawbar 4", </v>
      </c>
      <c r="M78" s="11" t="str">
        <f t="shared" si="9"/>
        <v xml:space="preserve">NULL, </v>
      </c>
      <c r="N78" s="11" t="str">
        <f>IF(J78="NULL",CONCATENATE(J78,", "),CONCATENATE("tm_",J78,", "))</f>
        <v xml:space="preserve">tm_drawbar, </v>
      </c>
      <c r="O78" s="10" t="str">
        <f>CONCATENATE("  {",L78,C78,", ",D78,", ",I78,", ",M78,N78,F78,", ",G78,", ",H78,"},  // Idx ", A78)</f>
        <v xml:space="preserve">  {"Drawbar 4", -1, -1, 19, NULL, tm_drawbar, 0, 127, 0},  // Idx 76</v>
      </c>
    </row>
    <row r="79" spans="1:15" x14ac:dyDescent="0.25">
      <c r="A79" s="16">
        <f t="shared" si="12"/>
        <v>77</v>
      </c>
      <c r="B79" s="9" t="s">
        <v>71</v>
      </c>
      <c r="C79" s="13">
        <v>-1</v>
      </c>
      <c r="D79" s="13">
        <v>-1</v>
      </c>
      <c r="E79" s="13"/>
      <c r="F79" s="3">
        <v>0</v>
      </c>
      <c r="G79" s="3">
        <v>127</v>
      </c>
      <c r="H79" s="7">
        <v>0</v>
      </c>
      <c r="I79" s="3">
        <v>20</v>
      </c>
      <c r="J79" s="7" t="s">
        <v>27</v>
      </c>
      <c r="K79" s="7" t="s">
        <v>8</v>
      </c>
      <c r="L79" s="11" t="str">
        <f t="shared" si="8"/>
        <v xml:space="preserve">"Drawbar 2 2/3", </v>
      </c>
      <c r="M79" s="11" t="str">
        <f t="shared" si="9"/>
        <v xml:space="preserve">NULL, </v>
      </c>
      <c r="N79" s="11" t="str">
        <f>IF(J79="NULL",CONCATENATE(J79,", "),CONCATENATE("tm_",J79,", "))</f>
        <v xml:space="preserve">tm_drawbar, </v>
      </c>
      <c r="O79" s="10" t="str">
        <f>CONCATENATE("  {",L79,C79,", ",D79,", ",I79,", ",M79,N79,F79,", ",G79,", ",H79,"},  // Idx ", A79)</f>
        <v xml:space="preserve">  {"Drawbar 2 2/3", -1, -1, 20, NULL, tm_drawbar, 0, 127, 0},  // Idx 77</v>
      </c>
    </row>
    <row r="80" spans="1:15" x14ac:dyDescent="0.25">
      <c r="A80" s="16">
        <f t="shared" si="12"/>
        <v>78</v>
      </c>
      <c r="B80" s="9" t="s">
        <v>72</v>
      </c>
      <c r="C80" s="13">
        <v>-1</v>
      </c>
      <c r="D80" s="13">
        <v>-1</v>
      </c>
      <c r="E80" s="13"/>
      <c r="F80" s="3">
        <v>0</v>
      </c>
      <c r="G80" s="3">
        <v>127</v>
      </c>
      <c r="H80" s="7">
        <v>0</v>
      </c>
      <c r="I80" s="3">
        <v>21</v>
      </c>
      <c r="J80" s="7" t="s">
        <v>27</v>
      </c>
      <c r="K80" s="7" t="s">
        <v>8</v>
      </c>
      <c r="L80" s="11" t="str">
        <f t="shared" si="8"/>
        <v xml:space="preserve">"Drawbar 2", </v>
      </c>
      <c r="M80" s="11" t="str">
        <f t="shared" si="9"/>
        <v xml:space="preserve">NULL, </v>
      </c>
      <c r="N80" s="11" t="str">
        <f>IF(J80="NULL",CONCATENATE(J80,", "),CONCATENATE("tm_",J80,", "))</f>
        <v xml:space="preserve">tm_drawbar, </v>
      </c>
      <c r="O80" s="10" t="str">
        <f>CONCATENATE("  {",L80,C80,", ",D80,", ",I80,", ",M80,N80,F80,", ",G80,", ",H80,"},  // Idx ", A80)</f>
        <v xml:space="preserve">  {"Drawbar 2", -1, -1, 21, NULL, tm_drawbar, 0, 127, 0},  // Idx 78</v>
      </c>
    </row>
    <row r="81" spans="1:15" x14ac:dyDescent="0.25">
      <c r="A81" s="16">
        <f t="shared" si="12"/>
        <v>79</v>
      </c>
      <c r="B81" s="9" t="s">
        <v>73</v>
      </c>
      <c r="C81" s="13">
        <v>-1</v>
      </c>
      <c r="D81" s="13">
        <v>-1</v>
      </c>
      <c r="E81" s="13"/>
      <c r="F81" s="3">
        <v>0</v>
      </c>
      <c r="G81" s="3">
        <v>127</v>
      </c>
      <c r="H81" s="7">
        <v>0</v>
      </c>
      <c r="I81" s="3">
        <v>22</v>
      </c>
      <c r="J81" s="7" t="s">
        <v>27</v>
      </c>
      <c r="K81" s="7" t="s">
        <v>8</v>
      </c>
      <c r="L81" s="11" t="str">
        <f t="shared" si="8"/>
        <v xml:space="preserve">"Drawbar 1 3/5", </v>
      </c>
      <c r="M81" s="11" t="str">
        <f t="shared" si="9"/>
        <v xml:space="preserve">NULL, </v>
      </c>
      <c r="N81" s="11" t="str">
        <f>IF(J81="NULL",CONCATENATE(J81,", "),CONCATENATE("tm_",J81,", "))</f>
        <v xml:space="preserve">tm_drawbar, </v>
      </c>
      <c r="O81" s="10" t="str">
        <f>CONCATENATE("  {",L81,C81,", ",D81,", ",I81,", ",M81,N81,F81,", ",G81,", ",H81,"},  // Idx ", A81)</f>
        <v xml:space="preserve">  {"Drawbar 1 3/5", -1, -1, 22, NULL, tm_drawbar, 0, 127, 0},  // Idx 79</v>
      </c>
    </row>
    <row r="82" spans="1:15" x14ac:dyDescent="0.25">
      <c r="A82" s="16">
        <f t="shared" si="12"/>
        <v>80</v>
      </c>
      <c r="B82" s="9" t="s">
        <v>74</v>
      </c>
      <c r="C82" s="13">
        <v>-1</v>
      </c>
      <c r="D82" s="13">
        <v>-1</v>
      </c>
      <c r="E82" s="13"/>
      <c r="F82" s="3">
        <v>0</v>
      </c>
      <c r="G82" s="3">
        <v>127</v>
      </c>
      <c r="H82" s="7">
        <v>0</v>
      </c>
      <c r="I82" s="3">
        <v>23</v>
      </c>
      <c r="J82" s="7" t="s">
        <v>27</v>
      </c>
      <c r="K82" s="7" t="s">
        <v>8</v>
      </c>
      <c r="L82" s="11" t="str">
        <f t="shared" si="8"/>
        <v xml:space="preserve">"Drawbar 1 1/3", </v>
      </c>
      <c r="M82" s="11" t="str">
        <f t="shared" si="9"/>
        <v xml:space="preserve">NULL, </v>
      </c>
      <c r="N82" s="11" t="str">
        <f>IF(J82="NULL",CONCATENATE(J82,", "),CONCATENATE("tm_",J82,", "))</f>
        <v xml:space="preserve">tm_drawbar, </v>
      </c>
      <c r="O82" s="10" t="str">
        <f>CONCATENATE("  {",L82,C82,", ",D82,", ",I82,", ",M82,N82,F82,", ",G82,", ",H82,"},  // Idx ", A82)</f>
        <v xml:space="preserve">  {"Drawbar 1 1/3", -1, -1, 23, NULL, tm_drawbar, 0, 127, 0},  // Idx 80</v>
      </c>
    </row>
    <row r="83" spans="1:15" x14ac:dyDescent="0.25">
      <c r="A83" s="16">
        <f t="shared" si="12"/>
        <v>81</v>
      </c>
      <c r="B83" s="9" t="s">
        <v>75</v>
      </c>
      <c r="C83" s="13">
        <v>-1</v>
      </c>
      <c r="D83" s="13">
        <v>-1</v>
      </c>
      <c r="E83" s="13"/>
      <c r="F83" s="3">
        <v>0</v>
      </c>
      <c r="G83" s="3">
        <v>127</v>
      </c>
      <c r="H83" s="7">
        <v>0</v>
      </c>
      <c r="I83" s="3">
        <v>24</v>
      </c>
      <c r="J83" s="7" t="s">
        <v>27</v>
      </c>
      <c r="K83" s="7" t="s">
        <v>8</v>
      </c>
      <c r="L83" s="11" t="str">
        <f t="shared" si="8"/>
        <v xml:space="preserve">"Drawbar 1", </v>
      </c>
      <c r="M83" s="11" t="str">
        <f t="shared" si="9"/>
        <v xml:space="preserve">NULL, </v>
      </c>
      <c r="N83" s="11" t="str">
        <f>IF(J83="NULL",CONCATENATE(J83,", "),CONCATENATE("tm_",J83,", "))</f>
        <v xml:space="preserve">tm_drawbar, </v>
      </c>
      <c r="O83" s="10" t="str">
        <f>CONCATENATE("  {",L83,C83,", ",D83,", ",I83,", ",M83,N83,F83,", ",G83,", ",H83,"},  // Idx ", A83)</f>
        <v xml:space="preserve">  {"Drawbar 1", -1, -1, 24, NULL, tm_drawbar, 0, 127, 0},  // Idx 81</v>
      </c>
    </row>
    <row r="84" spans="1:15" x14ac:dyDescent="0.25">
      <c r="A84" s="16">
        <f t="shared" si="12"/>
        <v>82</v>
      </c>
      <c r="B84" s="9" t="s">
        <v>76</v>
      </c>
      <c r="C84" s="13">
        <v>-1</v>
      </c>
      <c r="D84" s="13">
        <v>-1</v>
      </c>
      <c r="E84" s="13"/>
      <c r="F84" s="3">
        <v>0</v>
      </c>
      <c r="G84" s="3">
        <v>127</v>
      </c>
      <c r="H84" s="7">
        <v>1</v>
      </c>
      <c r="I84" s="3">
        <v>25</v>
      </c>
      <c r="J84" s="7" t="s">
        <v>27</v>
      </c>
      <c r="K84" s="7" t="s">
        <v>8</v>
      </c>
      <c r="L84" s="11" t="str">
        <f t="shared" si="8"/>
        <v xml:space="preserve">"Drawbar Mix 1", </v>
      </c>
      <c r="M84" s="11" t="str">
        <f t="shared" si="9"/>
        <v xml:space="preserve">NULL, </v>
      </c>
      <c r="N84" s="11" t="str">
        <f>IF(J84="NULL",CONCATENATE(J84,", "),CONCATENATE("tm_",J84,", "))</f>
        <v xml:space="preserve">tm_drawbar, </v>
      </c>
      <c r="O84" s="10" t="str">
        <f>CONCATENATE("  {",L84,C84,", ",D84,", ",I84,", ",M84,N84,F84,", ",G84,", ",H84,"},  // Idx ", A84)</f>
        <v xml:space="preserve">  {"Drawbar Mix 1", -1, -1, 25, NULL, tm_drawbar, 0, 127, 1},  // Idx 82</v>
      </c>
    </row>
    <row r="85" spans="1:15" x14ac:dyDescent="0.25">
      <c r="A85" s="16">
        <f t="shared" si="12"/>
        <v>83</v>
      </c>
      <c r="B85" s="9" t="s">
        <v>77</v>
      </c>
      <c r="C85" s="13">
        <v>-1</v>
      </c>
      <c r="D85" s="13">
        <v>-1</v>
      </c>
      <c r="E85" s="13"/>
      <c r="F85" s="3">
        <v>0</v>
      </c>
      <c r="G85" s="3">
        <v>127</v>
      </c>
      <c r="H85" s="7">
        <v>1</v>
      </c>
      <c r="I85" s="3">
        <v>26</v>
      </c>
      <c r="J85" s="7" t="s">
        <v>27</v>
      </c>
      <c r="K85" s="7" t="s">
        <v>8</v>
      </c>
      <c r="L85" s="11" t="str">
        <f t="shared" si="8"/>
        <v xml:space="preserve">"Drawbar Mix 2", </v>
      </c>
      <c r="M85" s="11" t="str">
        <f t="shared" si="9"/>
        <v xml:space="preserve">NULL, </v>
      </c>
      <c r="N85" s="11" t="str">
        <f>IF(J85="NULL",CONCATENATE(J85,", "),CONCATENATE("tm_",J85,", "))</f>
        <v xml:space="preserve">tm_drawbar, </v>
      </c>
      <c r="O85" s="10" t="str">
        <f>CONCATENATE("  {",L85,C85,", ",D85,", ",I85,", ",M85,N85,F85,", ",G85,", ",H85,"},  // Idx ", A85)</f>
        <v xml:space="preserve">  {"Drawbar Mix 2", -1, -1, 26, NULL, tm_drawbar, 0, 127, 1},  // Idx 83</v>
      </c>
    </row>
    <row r="86" spans="1:15" x14ac:dyDescent="0.25">
      <c r="A86" s="16">
        <f t="shared" si="12"/>
        <v>84</v>
      </c>
      <c r="B86" s="9" t="s">
        <v>78</v>
      </c>
      <c r="C86" s="13">
        <v>-1</v>
      </c>
      <c r="D86" s="13">
        <v>-1</v>
      </c>
      <c r="E86" s="13"/>
      <c r="F86" s="3">
        <v>0</v>
      </c>
      <c r="G86" s="3">
        <v>127</v>
      </c>
      <c r="H86" s="7">
        <v>1</v>
      </c>
      <c r="I86" s="3">
        <v>27</v>
      </c>
      <c r="J86" s="7" t="s">
        <v>27</v>
      </c>
      <c r="K86" s="7" t="s">
        <v>8</v>
      </c>
      <c r="L86" s="11" t="str">
        <f t="shared" si="8"/>
        <v xml:space="preserve">"Drawbar Mix 3", </v>
      </c>
      <c r="M86" s="11" t="str">
        <f t="shared" si="9"/>
        <v xml:space="preserve">NULL, </v>
      </c>
      <c r="N86" s="11" t="str">
        <f>IF(J86="NULL",CONCATENATE(J86,", "),CONCATENATE("tm_",J86,", "))</f>
        <v xml:space="preserve">tm_drawbar, </v>
      </c>
      <c r="O86" s="10" t="str">
        <f>CONCATENATE("  {",L86,C86,", ",D86,", ",I86,", ",M86,N86,F86,", ",G86,", ",H86,"},  // Idx ", A86)</f>
        <v xml:space="preserve">  {"Drawbar Mix 3", -1, -1, 27, NULL, tm_drawbar, 0, 127, 1},  // Idx 84</v>
      </c>
    </row>
    <row r="87" spans="1:15" x14ac:dyDescent="0.25">
      <c r="A87" s="16">
        <f t="shared" si="12"/>
        <v>85</v>
      </c>
      <c r="B87" s="37" t="s">
        <v>79</v>
      </c>
      <c r="C87" s="13">
        <v>-1</v>
      </c>
      <c r="D87" s="13">
        <v>-1</v>
      </c>
      <c r="E87" s="13"/>
      <c r="F87" s="3">
        <v>0</v>
      </c>
      <c r="G87" s="3">
        <v>126</v>
      </c>
      <c r="H87" s="7">
        <v>0</v>
      </c>
      <c r="I87" s="3">
        <v>232</v>
      </c>
      <c r="J87" s="7" t="s">
        <v>26</v>
      </c>
      <c r="K87" s="7" t="s">
        <v>8</v>
      </c>
      <c r="L87" s="11" t="str">
        <f t="shared" si="8"/>
        <v xml:space="preserve">"GM Prg 1", </v>
      </c>
      <c r="M87" s="11" t="str">
        <f t="shared" si="9"/>
        <v xml:space="preserve">NULL, </v>
      </c>
      <c r="N87" s="11" t="str">
        <f>IF(J87="NULL",CONCATENATE(J87,", "),CONCATENATE("tm_",J87,", "))</f>
        <v xml:space="preserve">tm_numeric, </v>
      </c>
      <c r="O87" s="10" t="str">
        <f>CONCATENATE("  {",L87,C87,", ",D87,", ",I87,", ",M87,N87,F87,", ",G87,", ",H87,"},  // Idx ", A87)</f>
        <v xml:space="preserve">  {"GM Prg 1", -1, -1, 232, NULL, tm_numeric, 0, 126, 0},  // Idx 85</v>
      </c>
    </row>
    <row r="88" spans="1:15" x14ac:dyDescent="0.25">
      <c r="A88" s="16">
        <f t="shared" si="12"/>
        <v>86</v>
      </c>
      <c r="B88" s="37" t="s">
        <v>159</v>
      </c>
      <c r="C88" s="13">
        <v>-1</v>
      </c>
      <c r="D88" s="13">
        <v>-1</v>
      </c>
      <c r="E88" s="13"/>
      <c r="F88" s="3">
        <v>0</v>
      </c>
      <c r="G88" s="3">
        <v>127</v>
      </c>
      <c r="H88" s="7">
        <v>0</v>
      </c>
      <c r="I88" s="3">
        <v>233</v>
      </c>
      <c r="J88" s="7" t="s">
        <v>146</v>
      </c>
      <c r="K88" s="7" t="s">
        <v>8</v>
      </c>
      <c r="L88" s="11" t="str">
        <f t="shared" si="8"/>
        <v xml:space="preserve">"GM Level 1", </v>
      </c>
      <c r="M88" s="11" t="str">
        <f t="shared" si="9"/>
        <v xml:space="preserve">NULL, </v>
      </c>
      <c r="N88" s="11" t="str">
        <f>IF(J88="NULL",CONCATENATE(J88,", "),CONCATENATE("tm_",J88,", "))</f>
        <v xml:space="preserve">tm_pot, </v>
      </c>
      <c r="O88" s="10" t="str">
        <f>CONCATENATE("  {",L88,C88,", ",D88,", ",I88,", ",M88,N88,F88,", ",G88,", ",H88,"},  // Idx ", A88)</f>
        <v xml:space="preserve">  {"GM Level 1", -1, -1, 233, NULL, tm_pot, 0, 127, 0},  // Idx 86</v>
      </c>
    </row>
    <row r="89" spans="1:15" x14ac:dyDescent="0.25">
      <c r="A89" s="16">
        <f t="shared" si="12"/>
        <v>87</v>
      </c>
      <c r="B89" s="37" t="s">
        <v>83</v>
      </c>
      <c r="C89" s="13">
        <v>-1</v>
      </c>
      <c r="D89" s="13">
        <v>-1</v>
      </c>
      <c r="E89" s="13"/>
      <c r="F89" s="3">
        <v>0</v>
      </c>
      <c r="G89" s="3">
        <v>5</v>
      </c>
      <c r="H89" s="7">
        <v>0</v>
      </c>
      <c r="I89" s="3">
        <v>234</v>
      </c>
      <c r="J89" s="7" t="s">
        <v>26</v>
      </c>
      <c r="K89" s="7" t="s">
        <v>8</v>
      </c>
      <c r="L89" s="11" t="str">
        <f t="shared" si="8"/>
        <v xml:space="preserve">"GM Harm1", </v>
      </c>
      <c r="M89" s="11" t="str">
        <f t="shared" si="9"/>
        <v xml:space="preserve">NULL, </v>
      </c>
      <c r="N89" s="11" t="str">
        <f>IF(J89="NULL",CONCATENATE(J89,", "),CONCATENATE("tm_",J89,", "))</f>
        <v xml:space="preserve">tm_numeric, </v>
      </c>
      <c r="O89" s="10" t="str">
        <f>CONCATENATE("  {",L89,C89,", ",D89,", ",I89,", ",M89,N89,F89,", ",G89,", ",H89,"},  // Idx ", A89)</f>
        <v xml:space="preserve">  {"GM Harm1", -1, -1, 234, NULL, tm_numeric, 0, 5, 0},  // Idx 87</v>
      </c>
    </row>
    <row r="90" spans="1:15" x14ac:dyDescent="0.25">
      <c r="A90" s="16">
        <f t="shared" si="12"/>
        <v>88</v>
      </c>
      <c r="B90" s="37" t="s">
        <v>81</v>
      </c>
      <c r="C90" s="13">
        <v>-1</v>
      </c>
      <c r="D90" s="13">
        <v>-1</v>
      </c>
      <c r="E90" s="13"/>
      <c r="F90" s="3">
        <v>0</v>
      </c>
      <c r="G90" s="3">
        <v>126</v>
      </c>
      <c r="H90" s="7">
        <v>1</v>
      </c>
      <c r="I90" s="3">
        <v>235</v>
      </c>
      <c r="J90" s="7" t="s">
        <v>26</v>
      </c>
      <c r="K90" s="7" t="s">
        <v>8</v>
      </c>
      <c r="L90" s="11" t="str">
        <f t="shared" si="8"/>
        <v xml:space="preserve">"GM Prg 2", </v>
      </c>
      <c r="M90" s="11" t="str">
        <f t="shared" si="9"/>
        <v xml:space="preserve">NULL, </v>
      </c>
      <c r="N90" s="11" t="str">
        <f>IF(J90="NULL",CONCATENATE(J90,", "),CONCATENATE("tm_",J90,", "))</f>
        <v xml:space="preserve">tm_numeric, </v>
      </c>
      <c r="O90" s="10" t="str">
        <f>CONCATENATE("  {",L90,C90,", ",D90,", ",I90,", ",M90,N90,F90,", ",G90,", ",H90,"},  // Idx ", A90)</f>
        <v xml:space="preserve">  {"GM Prg 2", -1, -1, 235, NULL, tm_numeric, 0, 126, 1},  // Idx 88</v>
      </c>
    </row>
    <row r="91" spans="1:15" x14ac:dyDescent="0.25">
      <c r="A91" s="16">
        <f t="shared" si="12"/>
        <v>89</v>
      </c>
      <c r="B91" s="37" t="s">
        <v>160</v>
      </c>
      <c r="C91" s="13">
        <v>-1</v>
      </c>
      <c r="D91" s="13">
        <v>-1</v>
      </c>
      <c r="E91" s="13"/>
      <c r="F91" s="3">
        <v>0</v>
      </c>
      <c r="G91" s="3">
        <v>127</v>
      </c>
      <c r="H91" s="7">
        <v>1</v>
      </c>
      <c r="I91" s="3">
        <v>236</v>
      </c>
      <c r="J91" s="7" t="s">
        <v>146</v>
      </c>
      <c r="K91" s="7" t="s">
        <v>8</v>
      </c>
      <c r="L91" s="11" t="str">
        <f t="shared" si="8"/>
        <v xml:space="preserve">"GM Level 2", </v>
      </c>
      <c r="M91" s="11" t="str">
        <f t="shared" si="9"/>
        <v xml:space="preserve">NULL, </v>
      </c>
      <c r="N91" s="11" t="str">
        <f>IF(J91="NULL",CONCATENATE(J91,", "),CONCATENATE("tm_",J91,", "))</f>
        <v xml:space="preserve">tm_pot, </v>
      </c>
      <c r="O91" s="10" t="str">
        <f>CONCATENATE("  {",L91,C91,", ",D91,", ",I91,", ",M91,N91,F91,", ",G91,", ",H91,"},  // Idx ", A91)</f>
        <v xml:space="preserve">  {"GM Level 2", -1, -1, 236, NULL, tm_pot, 0, 127, 1},  // Idx 89</v>
      </c>
    </row>
    <row r="92" spans="1:15" x14ac:dyDescent="0.25">
      <c r="A92" s="16">
        <f t="shared" si="12"/>
        <v>90</v>
      </c>
      <c r="B92" s="37" t="s">
        <v>82</v>
      </c>
      <c r="C92" s="13">
        <v>-1</v>
      </c>
      <c r="D92" s="13">
        <v>-1</v>
      </c>
      <c r="E92" s="13"/>
      <c r="F92" s="3">
        <v>0</v>
      </c>
      <c r="G92" s="3">
        <v>5</v>
      </c>
      <c r="H92" s="7">
        <v>1</v>
      </c>
      <c r="I92" s="3">
        <v>237</v>
      </c>
      <c r="J92" s="7" t="s">
        <v>26</v>
      </c>
      <c r="K92" s="7" t="s">
        <v>8</v>
      </c>
      <c r="L92" s="11" t="str">
        <f t="shared" si="8"/>
        <v xml:space="preserve">"GM Harm2", </v>
      </c>
      <c r="M92" s="11" t="str">
        <f t="shared" si="9"/>
        <v xml:space="preserve">NULL, </v>
      </c>
      <c r="N92" s="11" t="str">
        <f>IF(J92="NULL",CONCATENATE(J92,", "),CONCATENATE("tm_",J92,", "))</f>
        <v xml:space="preserve">tm_numeric, </v>
      </c>
      <c r="O92" s="10" t="str">
        <f>CONCATENATE("  {",L92,C92,", ",D92,", ",I92,", ",M92,N92,F92,", ",G92,", ",H92,"},  // Idx ", A92)</f>
        <v xml:space="preserve">  {"GM Harm2", -1, -1, 237, NULL, tm_numeric, 0, 5, 1},  // Idx 90</v>
      </c>
    </row>
    <row r="93" spans="1:15" x14ac:dyDescent="0.25">
      <c r="A93" s="16">
        <f t="shared" si="12"/>
        <v>91</v>
      </c>
      <c r="B93" s="37" t="s">
        <v>119</v>
      </c>
      <c r="C93" s="13">
        <v>-1</v>
      </c>
      <c r="D93" s="13">
        <v>-1</v>
      </c>
      <c r="E93" s="13"/>
      <c r="F93" s="3">
        <v>0</v>
      </c>
      <c r="G93" s="3">
        <v>15</v>
      </c>
      <c r="H93" s="7">
        <v>1</v>
      </c>
      <c r="I93" s="3">
        <v>238</v>
      </c>
      <c r="J93" s="7" t="s">
        <v>146</v>
      </c>
      <c r="K93" s="7" t="s">
        <v>8</v>
      </c>
      <c r="L93" s="11" t="str">
        <f t="shared" si="8"/>
        <v xml:space="preserve">"GM Detune 2", </v>
      </c>
      <c r="M93" s="11" t="str">
        <f t="shared" si="9"/>
        <v xml:space="preserve">NULL, </v>
      </c>
      <c r="N93" s="11" t="str">
        <f>IF(J93="NULL",CONCATENATE(J93,", "),CONCATENATE("tm_",J93,", "))</f>
        <v xml:space="preserve">tm_pot, </v>
      </c>
      <c r="O93" s="10" t="str">
        <f>CONCATENATE("  {",L93,C93,", ",D93,", ",I93,", ",M93,N93,F93,", ",G93,", ",H93,"},  // Idx ", A93)</f>
        <v xml:space="preserve">  {"GM Detune 2", -1, -1, 238, NULL, tm_pot, 0, 15, 1},  // Idx 91</v>
      </c>
    </row>
    <row r="94" spans="1:15" x14ac:dyDescent="0.25">
      <c r="A94" s="16">
        <f t="shared" si="12"/>
        <v>92</v>
      </c>
      <c r="B94" s="41" t="s">
        <v>107</v>
      </c>
      <c r="C94" s="13">
        <v>-1</v>
      </c>
      <c r="D94" s="13">
        <v>-1</v>
      </c>
      <c r="E94" s="13"/>
      <c r="F94" s="3">
        <v>0</v>
      </c>
      <c r="G94" s="3">
        <v>127</v>
      </c>
      <c r="H94" s="7">
        <v>1</v>
      </c>
      <c r="I94" s="3">
        <v>56</v>
      </c>
      <c r="J94" s="7" t="s">
        <v>146</v>
      </c>
      <c r="K94" s="7" t="s">
        <v>8</v>
      </c>
      <c r="L94" s="11" t="str">
        <f t="shared" ref="L94:L114" si="13">CONCATENATE("""",B94,""", ")</f>
        <v xml:space="preserve">"Attack", </v>
      </c>
      <c r="M94" s="11" t="str">
        <f t="shared" ref="M94:M114" si="14">IF(K94="NULL",CONCATENATE(K94,", "),CONCATENATE("&amp;",K94,", "))</f>
        <v xml:space="preserve">NULL, </v>
      </c>
      <c r="N94" s="11" t="str">
        <f>IF(J94="NULL",CONCATENATE(J94,", "),CONCATENATE("tm_",J94,", "))</f>
        <v xml:space="preserve">tm_pot, </v>
      </c>
      <c r="O94" s="10" t="str">
        <f>CONCATENATE("  {",L94,C94,", ",D94,", ",I94,", ",M94,N94,F94,", ",G94,", ",H94,"},  // Idx ", A94)</f>
        <v xml:space="preserve">  {"Attack", -1, -1, 56, NULL, tm_pot, 0, 127, 1},  // Idx 92</v>
      </c>
    </row>
    <row r="95" spans="1:15" x14ac:dyDescent="0.25">
      <c r="A95" s="16">
        <f t="shared" si="12"/>
        <v>93</v>
      </c>
      <c r="B95" s="41" t="s">
        <v>108</v>
      </c>
      <c r="C95" s="13">
        <v>-1</v>
      </c>
      <c r="D95" s="13">
        <v>-1</v>
      </c>
      <c r="E95" s="13"/>
      <c r="F95" s="3">
        <v>0</v>
      </c>
      <c r="G95" s="3">
        <v>127</v>
      </c>
      <c r="H95" s="7">
        <v>1</v>
      </c>
      <c r="I95" s="3">
        <v>57</v>
      </c>
      <c r="J95" s="7" t="s">
        <v>146</v>
      </c>
      <c r="K95" s="7" t="s">
        <v>8</v>
      </c>
      <c r="L95" s="11" t="str">
        <f t="shared" si="13"/>
        <v xml:space="preserve">"Decay", </v>
      </c>
      <c r="M95" s="11" t="str">
        <f t="shared" si="14"/>
        <v xml:space="preserve">NULL, </v>
      </c>
      <c r="N95" s="11" t="str">
        <f>IF(J95="NULL",CONCATENATE(J95,", "),CONCATENATE("tm_",J95,", "))</f>
        <v xml:space="preserve">tm_pot, </v>
      </c>
      <c r="O95" s="10" t="str">
        <f>CONCATENATE("  {",L95,C95,", ",D95,", ",I95,", ",M95,N95,F95,", ",G95,", ",H95,"},  // Idx ", A95)</f>
        <v xml:space="preserve">  {"Decay", -1, -1, 57, NULL, tm_pot, 0, 127, 1},  // Idx 93</v>
      </c>
    </row>
    <row r="96" spans="1:15" x14ac:dyDescent="0.25">
      <c r="A96" s="16">
        <f t="shared" si="12"/>
        <v>94</v>
      </c>
      <c r="B96" s="41" t="s">
        <v>109</v>
      </c>
      <c r="C96" s="13">
        <v>-1</v>
      </c>
      <c r="D96" s="13">
        <v>-1</v>
      </c>
      <c r="E96" s="13"/>
      <c r="F96" s="3">
        <v>0</v>
      </c>
      <c r="G96" s="3">
        <v>127</v>
      </c>
      <c r="H96" s="7">
        <v>1</v>
      </c>
      <c r="I96" s="3">
        <v>58</v>
      </c>
      <c r="J96" s="7" t="s">
        <v>146</v>
      </c>
      <c r="K96" s="7" t="s">
        <v>8</v>
      </c>
      <c r="L96" s="11" t="str">
        <f t="shared" si="13"/>
        <v xml:space="preserve">"Sustain", </v>
      </c>
      <c r="M96" s="11" t="str">
        <f t="shared" si="14"/>
        <v xml:space="preserve">NULL, </v>
      </c>
      <c r="N96" s="11" t="str">
        <f>IF(J96="NULL",CONCATENATE(J96,", "),CONCATENATE("tm_",J96,", "))</f>
        <v xml:space="preserve">tm_pot, </v>
      </c>
      <c r="O96" s="10" t="str">
        <f>CONCATENATE("  {",L96,C96,", ",D96,", ",I96,", ",M96,N96,F96,", ",G96,", ",H96,"},  // Idx ", A96)</f>
        <v xml:space="preserve">  {"Sustain", -1, -1, 58, NULL, tm_pot, 0, 127, 1},  // Idx 94</v>
      </c>
    </row>
    <row r="97" spans="1:15" x14ac:dyDescent="0.25">
      <c r="A97" s="16">
        <f t="shared" si="12"/>
        <v>95</v>
      </c>
      <c r="B97" s="41" t="s">
        <v>110</v>
      </c>
      <c r="C97" s="13">
        <v>-1</v>
      </c>
      <c r="D97" s="13">
        <v>-1</v>
      </c>
      <c r="E97" s="13"/>
      <c r="F97" s="3">
        <v>0</v>
      </c>
      <c r="G97" s="3">
        <v>127</v>
      </c>
      <c r="H97" s="7">
        <v>1</v>
      </c>
      <c r="I97" s="3">
        <v>59</v>
      </c>
      <c r="J97" s="7" t="s">
        <v>146</v>
      </c>
      <c r="K97" s="7" t="s">
        <v>8</v>
      </c>
      <c r="L97" s="11" t="str">
        <f t="shared" si="13"/>
        <v xml:space="preserve">"Release", </v>
      </c>
      <c r="M97" s="11" t="str">
        <f t="shared" si="14"/>
        <v xml:space="preserve">NULL, </v>
      </c>
      <c r="N97" s="11" t="str">
        <f>IF(J97="NULL",CONCATENATE(J97,", "),CONCATENATE("tm_",J97,", "))</f>
        <v xml:space="preserve">tm_pot, </v>
      </c>
      <c r="O97" s="10" t="str">
        <f>CONCATENATE("  {",L97,C97,", ",D97,", ",I97,", ",M97,N97,F97,", ",G97,", ",H97,"},  // Idx ", A97)</f>
        <v xml:space="preserve">  {"Release", -1, -1, 59, NULL, tm_pot, 0, 127, 1},  // Idx 95</v>
      </c>
    </row>
    <row r="98" spans="1:15" x14ac:dyDescent="0.25">
      <c r="A98" s="16">
        <f t="shared" si="12"/>
        <v>96</v>
      </c>
      <c r="B98" s="41" t="s">
        <v>111</v>
      </c>
      <c r="C98" s="13">
        <v>-1</v>
      </c>
      <c r="D98" s="13">
        <v>-1</v>
      </c>
      <c r="E98" s="13"/>
      <c r="F98" s="3">
        <v>0</v>
      </c>
      <c r="G98" s="3">
        <v>127</v>
      </c>
      <c r="H98" s="7">
        <v>1</v>
      </c>
      <c r="I98" s="3">
        <v>60</v>
      </c>
      <c r="J98" s="7" t="s">
        <v>146</v>
      </c>
      <c r="K98" s="7" t="s">
        <v>8</v>
      </c>
      <c r="L98" s="11" t="str">
        <f t="shared" si="13"/>
        <v xml:space="preserve">"ADSR Harmonic", </v>
      </c>
      <c r="M98" s="11" t="str">
        <f t="shared" si="14"/>
        <v xml:space="preserve">NULL, </v>
      </c>
      <c r="N98" s="11" t="str">
        <f>IF(J98="NULL",CONCATENATE(J98,", "),CONCATENATE("tm_",J98,", "))</f>
        <v xml:space="preserve">tm_pot, </v>
      </c>
      <c r="O98" s="10" t="str">
        <f>CONCATENATE("  {",L98,C98,", ",D98,", ",I98,", ",M98,N98,F98,", ",G98,", ",H98,"},  // Idx ", A98)</f>
        <v xml:space="preserve">  {"ADSR Harmonic", -1, -1, 60, NULL, tm_pot, 0, 127, 1},  // Idx 96</v>
      </c>
    </row>
    <row r="99" spans="1:15" x14ac:dyDescent="0.25">
      <c r="A99" s="16">
        <f t="shared" si="12"/>
        <v>97</v>
      </c>
      <c r="B99" s="41" t="s">
        <v>98</v>
      </c>
      <c r="C99" s="13">
        <v>-1</v>
      </c>
      <c r="D99" s="13">
        <v>-1</v>
      </c>
      <c r="E99" s="13"/>
      <c r="F99" s="3">
        <v>0</v>
      </c>
      <c r="G99" s="3">
        <v>1</v>
      </c>
      <c r="H99" s="7">
        <v>1</v>
      </c>
      <c r="I99" s="3">
        <v>176</v>
      </c>
      <c r="J99" s="7" t="s">
        <v>28</v>
      </c>
      <c r="K99" s="7" t="s">
        <v>8</v>
      </c>
      <c r="L99" s="11" t="str">
        <f t="shared" si="13"/>
        <v xml:space="preserve">"ADSR on 16", </v>
      </c>
      <c r="M99" s="11" t="str">
        <f t="shared" si="14"/>
        <v xml:space="preserve">NULL, </v>
      </c>
      <c r="N99" s="11" t="str">
        <f>IF(J99="NULL",CONCATENATE(J99,", "),CONCATENATE("tm_",J99,", "))</f>
        <v xml:space="preserve">tm_tab, </v>
      </c>
      <c r="O99" s="10" t="str">
        <f>CONCATENATE("  {",L99,C99,", ",D99,", ",I99,", ",M99,N99,F99,", ",G99,", ",H99,"},  // Idx ", A99)</f>
        <v xml:space="preserve">  {"ADSR on 16", -1, -1, 176, NULL, tm_tab, 0, 1, 1},  // Idx 97</v>
      </c>
    </row>
    <row r="100" spans="1:15" x14ac:dyDescent="0.25">
      <c r="A100" s="16">
        <f t="shared" si="12"/>
        <v>98</v>
      </c>
      <c r="B100" s="41" t="s">
        <v>99</v>
      </c>
      <c r="C100" s="13">
        <v>-1</v>
      </c>
      <c r="D100" s="13">
        <v>-1</v>
      </c>
      <c r="E100" s="13"/>
      <c r="F100" s="3">
        <v>0</v>
      </c>
      <c r="G100" s="3">
        <v>1</v>
      </c>
      <c r="H100" s="7">
        <v>1</v>
      </c>
      <c r="I100" s="3">
        <v>177</v>
      </c>
      <c r="J100" s="7" t="s">
        <v>28</v>
      </c>
      <c r="K100" s="7" t="s">
        <v>8</v>
      </c>
      <c r="L100" s="11" t="str">
        <f t="shared" si="13"/>
        <v xml:space="preserve">"ADSR on 5 1/3", </v>
      </c>
      <c r="M100" s="11" t="str">
        <f t="shared" si="14"/>
        <v xml:space="preserve">NULL, </v>
      </c>
      <c r="N100" s="11" t="str">
        <f>IF(J100="NULL",CONCATENATE(J100,", "),CONCATENATE("tm_",J100,", "))</f>
        <v xml:space="preserve">tm_tab, </v>
      </c>
      <c r="O100" s="10" t="str">
        <f>CONCATENATE("  {",L100,C100,", ",D100,", ",I100,", ",M100,N100,F100,", ",G100,", ",H100,"},  // Idx ", A100)</f>
        <v xml:space="preserve">  {"ADSR on 5 1/3", -1, -1, 177, NULL, tm_tab, 0, 1, 1},  // Idx 98</v>
      </c>
    </row>
    <row r="101" spans="1:15" x14ac:dyDescent="0.25">
      <c r="A101" s="16">
        <f t="shared" si="12"/>
        <v>99</v>
      </c>
      <c r="B101" s="41" t="s">
        <v>100</v>
      </c>
      <c r="C101" s="13">
        <v>-1</v>
      </c>
      <c r="D101" s="13">
        <v>-1</v>
      </c>
      <c r="E101" s="13"/>
      <c r="F101" s="3">
        <v>0</v>
      </c>
      <c r="G101" s="3">
        <v>1</v>
      </c>
      <c r="H101" s="7">
        <v>1</v>
      </c>
      <c r="I101" s="3">
        <v>178</v>
      </c>
      <c r="J101" s="7" t="s">
        <v>28</v>
      </c>
      <c r="K101" s="7" t="s">
        <v>8</v>
      </c>
      <c r="L101" s="11" t="str">
        <f t="shared" si="13"/>
        <v xml:space="preserve">"ADSR on 8", </v>
      </c>
      <c r="M101" s="11" t="str">
        <f t="shared" si="14"/>
        <v xml:space="preserve">NULL, </v>
      </c>
      <c r="N101" s="11" t="str">
        <f>IF(J101="NULL",CONCATENATE(J101,", "),CONCATENATE("tm_",J101,", "))</f>
        <v xml:space="preserve">tm_tab, </v>
      </c>
      <c r="O101" s="10" t="str">
        <f>CONCATENATE("  {",L101,C101,", ",D101,", ",I101,", ",M101,N101,F101,", ",G101,", ",H101,"},  // Idx ", A101)</f>
        <v xml:space="preserve">  {"ADSR on 8", -1, -1, 178, NULL, tm_tab, 0, 1, 1},  // Idx 99</v>
      </c>
    </row>
    <row r="102" spans="1:15" x14ac:dyDescent="0.25">
      <c r="A102" s="16">
        <f t="shared" si="12"/>
        <v>100</v>
      </c>
      <c r="B102" s="41" t="s">
        <v>101</v>
      </c>
      <c r="C102" s="13">
        <v>-1</v>
      </c>
      <c r="D102" s="13">
        <v>-1</v>
      </c>
      <c r="E102" s="13"/>
      <c r="F102" s="3">
        <v>0</v>
      </c>
      <c r="G102" s="3">
        <v>1</v>
      </c>
      <c r="H102" s="7">
        <v>1</v>
      </c>
      <c r="I102" s="3">
        <v>179</v>
      </c>
      <c r="J102" s="7" t="s">
        <v>28</v>
      </c>
      <c r="K102" s="7" t="s">
        <v>8</v>
      </c>
      <c r="L102" s="11" t="str">
        <f t="shared" si="13"/>
        <v xml:space="preserve">"ADSR on 4", </v>
      </c>
      <c r="M102" s="11" t="str">
        <f t="shared" si="14"/>
        <v xml:space="preserve">NULL, </v>
      </c>
      <c r="N102" s="11" t="str">
        <f>IF(J102="NULL",CONCATENATE(J102,", "),CONCATENATE("tm_",J102,", "))</f>
        <v xml:space="preserve">tm_tab, </v>
      </c>
      <c r="O102" s="10" t="str">
        <f>CONCATENATE("  {",L102,C102,", ",D102,", ",I102,", ",M102,N102,F102,", ",G102,", ",H102,"},  // Idx ", A102)</f>
        <v xml:space="preserve">  {"ADSR on 4", -1, -1, 179, NULL, tm_tab, 0, 1, 1},  // Idx 100</v>
      </c>
    </row>
    <row r="103" spans="1:15" x14ac:dyDescent="0.25">
      <c r="A103" s="16">
        <f t="shared" si="12"/>
        <v>101</v>
      </c>
      <c r="B103" s="41" t="s">
        <v>102</v>
      </c>
      <c r="C103" s="13">
        <v>-1</v>
      </c>
      <c r="D103" s="13">
        <v>-1</v>
      </c>
      <c r="E103" s="13"/>
      <c r="F103" s="3">
        <v>0</v>
      </c>
      <c r="G103" s="3">
        <v>1</v>
      </c>
      <c r="H103" s="7">
        <v>1</v>
      </c>
      <c r="I103" s="3">
        <v>180</v>
      </c>
      <c r="J103" s="7" t="s">
        <v>28</v>
      </c>
      <c r="K103" s="7" t="s">
        <v>8</v>
      </c>
      <c r="L103" s="11" t="str">
        <f t="shared" si="13"/>
        <v xml:space="preserve">"ADSR on 2 2/3", </v>
      </c>
      <c r="M103" s="11" t="str">
        <f t="shared" si="14"/>
        <v xml:space="preserve">NULL, </v>
      </c>
      <c r="N103" s="11" t="str">
        <f>IF(J103="NULL",CONCATENATE(J103,", "),CONCATENATE("tm_",J103,", "))</f>
        <v xml:space="preserve">tm_tab, </v>
      </c>
      <c r="O103" s="10" t="str">
        <f>CONCATENATE("  {",L103,C103,", ",D103,", ",I103,", ",M103,N103,F103,", ",G103,", ",H103,"},  // Idx ", A103)</f>
        <v xml:space="preserve">  {"ADSR on 2 2/3", -1, -1, 180, NULL, tm_tab, 0, 1, 1},  // Idx 101</v>
      </c>
    </row>
    <row r="104" spans="1:15" x14ac:dyDescent="0.25">
      <c r="A104" s="16">
        <f t="shared" si="12"/>
        <v>102</v>
      </c>
      <c r="B104" s="41" t="s">
        <v>103</v>
      </c>
      <c r="C104" s="13">
        <v>-1</v>
      </c>
      <c r="D104" s="13">
        <v>-1</v>
      </c>
      <c r="E104" s="13"/>
      <c r="F104" s="3">
        <v>0</v>
      </c>
      <c r="G104" s="3">
        <v>1</v>
      </c>
      <c r="H104" s="7">
        <v>1</v>
      </c>
      <c r="I104" s="3">
        <v>181</v>
      </c>
      <c r="J104" s="7" t="s">
        <v>28</v>
      </c>
      <c r="K104" s="7" t="s">
        <v>8</v>
      </c>
      <c r="L104" s="11" t="str">
        <f t="shared" si="13"/>
        <v xml:space="preserve">"ADSR on 2", </v>
      </c>
      <c r="M104" s="11" t="str">
        <f t="shared" si="14"/>
        <v xml:space="preserve">NULL, </v>
      </c>
      <c r="N104" s="11" t="str">
        <f>IF(J104="NULL",CONCATENATE(J104,", "),CONCATENATE("tm_",J104,", "))</f>
        <v xml:space="preserve">tm_tab, </v>
      </c>
      <c r="O104" s="10" t="str">
        <f>CONCATENATE("  {",L104,C104,", ",D104,", ",I104,", ",M104,N104,F104,", ",G104,", ",H104,"},  // Idx ", A104)</f>
        <v xml:space="preserve">  {"ADSR on 2", -1, -1, 181, NULL, tm_tab, 0, 1, 1},  // Idx 102</v>
      </c>
    </row>
    <row r="105" spans="1:15" x14ac:dyDescent="0.25">
      <c r="A105" s="16">
        <f t="shared" si="12"/>
        <v>103</v>
      </c>
      <c r="B105" s="41" t="s">
        <v>104</v>
      </c>
      <c r="C105" s="13">
        <v>-1</v>
      </c>
      <c r="D105" s="13">
        <v>-1</v>
      </c>
      <c r="E105" s="13"/>
      <c r="F105" s="3">
        <v>0</v>
      </c>
      <c r="G105" s="3">
        <v>1</v>
      </c>
      <c r="H105" s="7">
        <v>1</v>
      </c>
      <c r="I105" s="3">
        <v>182</v>
      </c>
      <c r="J105" s="7" t="s">
        <v>28</v>
      </c>
      <c r="K105" s="7" t="s">
        <v>8</v>
      </c>
      <c r="L105" s="11" t="str">
        <f t="shared" si="13"/>
        <v xml:space="preserve">"ADSR on 1 3/5", </v>
      </c>
      <c r="M105" s="11" t="str">
        <f t="shared" si="14"/>
        <v xml:space="preserve">NULL, </v>
      </c>
      <c r="N105" s="11" t="str">
        <f>IF(J105="NULL",CONCATENATE(J105,", "),CONCATENATE("tm_",J105,", "))</f>
        <v xml:space="preserve">tm_tab, </v>
      </c>
      <c r="O105" s="10" t="str">
        <f>CONCATENATE("  {",L105,C105,", ",D105,", ",I105,", ",M105,N105,F105,", ",G105,", ",H105,"},  // Idx ", A105)</f>
        <v xml:space="preserve">  {"ADSR on 1 3/5", -1, -1, 182, NULL, tm_tab, 0, 1, 1},  // Idx 103</v>
      </c>
    </row>
    <row r="106" spans="1:15" x14ac:dyDescent="0.25">
      <c r="A106" s="16">
        <f t="shared" si="12"/>
        <v>104</v>
      </c>
      <c r="B106" s="41" t="s">
        <v>105</v>
      </c>
      <c r="C106" s="13">
        <v>-1</v>
      </c>
      <c r="D106" s="13">
        <v>-1</v>
      </c>
      <c r="E106" s="13"/>
      <c r="F106" s="3">
        <v>0</v>
      </c>
      <c r="G106" s="3">
        <v>1</v>
      </c>
      <c r="H106" s="7">
        <v>1</v>
      </c>
      <c r="I106" s="3">
        <v>183</v>
      </c>
      <c r="J106" s="7" t="s">
        <v>28</v>
      </c>
      <c r="K106" s="7" t="s">
        <v>8</v>
      </c>
      <c r="L106" s="11" t="str">
        <f t="shared" si="13"/>
        <v xml:space="preserve">"ADSR on 1 1/3", </v>
      </c>
      <c r="M106" s="11" t="str">
        <f t="shared" si="14"/>
        <v xml:space="preserve">NULL, </v>
      </c>
      <c r="N106" s="11" t="str">
        <f>IF(J106="NULL",CONCATENATE(J106,", "),CONCATENATE("tm_",J106,", "))</f>
        <v xml:space="preserve">tm_tab, </v>
      </c>
      <c r="O106" s="10" t="str">
        <f>CONCATENATE("  {",L106,C106,", ",D106,", ",I106,", ",M106,N106,F106,", ",G106,", ",H106,"},  // Idx ", A106)</f>
        <v xml:space="preserve">  {"ADSR on 1 1/3", -1, -1, 183, NULL, tm_tab, 0, 1, 1},  // Idx 104</v>
      </c>
    </row>
    <row r="107" spans="1:15" x14ac:dyDescent="0.25">
      <c r="A107" s="16">
        <f t="shared" si="12"/>
        <v>105</v>
      </c>
      <c r="B107" s="41" t="s">
        <v>106</v>
      </c>
      <c r="C107" s="13">
        <v>-1</v>
      </c>
      <c r="D107" s="13">
        <v>-1</v>
      </c>
      <c r="E107" s="13"/>
      <c r="F107" s="3">
        <v>0</v>
      </c>
      <c r="G107" s="3">
        <v>1</v>
      </c>
      <c r="H107" s="7">
        <v>1</v>
      </c>
      <c r="I107" s="3">
        <v>184</v>
      </c>
      <c r="J107" s="7" t="s">
        <v>28</v>
      </c>
      <c r="K107" s="7" t="s">
        <v>8</v>
      </c>
      <c r="L107" s="11" t="str">
        <f t="shared" si="13"/>
        <v xml:space="preserve">"ADSR on 1", </v>
      </c>
      <c r="M107" s="11" t="str">
        <f t="shared" si="14"/>
        <v xml:space="preserve">NULL, </v>
      </c>
      <c r="N107" s="11" t="str">
        <f>IF(J107="NULL",CONCATENATE(J107,", "),CONCATENATE("tm_",J107,", "))</f>
        <v xml:space="preserve">tm_tab, </v>
      </c>
      <c r="O107" s="10" t="str">
        <f>CONCATENATE("  {",L107,C107,", ",D107,", ",I107,", ",M107,N107,F107,", ",G107,", ",H107,"},  // Idx ", A107)</f>
        <v xml:space="preserve">  {"ADSR on 1", -1, -1, 184, NULL, tm_tab, 0, 1, 1},  // Idx 105</v>
      </c>
    </row>
    <row r="108" spans="1:15" x14ac:dyDescent="0.25">
      <c r="A108" s="16">
        <f t="shared" si="12"/>
        <v>106</v>
      </c>
      <c r="B108" s="41" t="s">
        <v>115</v>
      </c>
      <c r="C108" s="13">
        <v>-1</v>
      </c>
      <c r="D108" s="13">
        <v>-1</v>
      </c>
      <c r="E108" s="13"/>
      <c r="F108" s="3">
        <v>0</v>
      </c>
      <c r="G108" s="3">
        <v>1</v>
      </c>
      <c r="H108" s="7">
        <v>1</v>
      </c>
      <c r="I108" s="3">
        <v>185</v>
      </c>
      <c r="J108" s="7" t="s">
        <v>28</v>
      </c>
      <c r="K108" s="7" t="s">
        <v>8</v>
      </c>
      <c r="L108" s="11" t="str">
        <f t="shared" si="13"/>
        <v xml:space="preserve">"ADSR on Mix 1", </v>
      </c>
      <c r="M108" s="11" t="str">
        <f t="shared" si="14"/>
        <v xml:space="preserve">NULL, </v>
      </c>
      <c r="N108" s="11" t="str">
        <f>IF(J108="NULL",CONCATENATE(J108,", "),CONCATENATE("tm_",J108,", "))</f>
        <v xml:space="preserve">tm_tab, </v>
      </c>
      <c r="O108" s="10" t="str">
        <f>CONCATENATE("  {",L108,C108,", ",D108,", ",I108,", ",M108,N108,F108,", ",G108,", ",H108,"},  // Idx ", A108)</f>
        <v xml:space="preserve">  {"ADSR on Mix 1", -1, -1, 185, NULL, tm_tab, 0, 1, 1},  // Idx 106</v>
      </c>
    </row>
    <row r="109" spans="1:15" x14ac:dyDescent="0.25">
      <c r="A109" s="16">
        <f t="shared" si="12"/>
        <v>107</v>
      </c>
      <c r="B109" s="41" t="s">
        <v>116</v>
      </c>
      <c r="C109" s="13">
        <v>-1</v>
      </c>
      <c r="D109" s="13">
        <v>-1</v>
      </c>
      <c r="E109" s="13"/>
      <c r="F109" s="3">
        <v>0</v>
      </c>
      <c r="G109" s="3">
        <v>1</v>
      </c>
      <c r="H109" s="7">
        <v>1</v>
      </c>
      <c r="I109" s="3">
        <v>186</v>
      </c>
      <c r="J109" s="7" t="s">
        <v>28</v>
      </c>
      <c r="K109" s="7" t="s">
        <v>8</v>
      </c>
      <c r="L109" s="11" t="str">
        <f t="shared" si="13"/>
        <v xml:space="preserve">"ADSR on Mix 2", </v>
      </c>
      <c r="M109" s="11" t="str">
        <f t="shared" si="14"/>
        <v xml:space="preserve">NULL, </v>
      </c>
      <c r="N109" s="11" t="str">
        <f>IF(J109="NULL",CONCATENATE(J109,", "),CONCATENATE("tm_",J109,", "))</f>
        <v xml:space="preserve">tm_tab, </v>
      </c>
      <c r="O109" s="10" t="str">
        <f>CONCATENATE("  {",L109,C109,", ",D109,", ",I109,", ",M109,N109,F109,", ",G109,", ",H109,"},  // Idx ", A109)</f>
        <v xml:space="preserve">  {"ADSR on Mix 2", -1, -1, 186, NULL, tm_tab, 0, 1, 1},  // Idx 107</v>
      </c>
    </row>
    <row r="110" spans="1:15" x14ac:dyDescent="0.25">
      <c r="A110" s="16">
        <f t="shared" si="12"/>
        <v>108</v>
      </c>
      <c r="B110" s="41" t="s">
        <v>117</v>
      </c>
      <c r="C110" s="13">
        <v>-1</v>
      </c>
      <c r="D110" s="13">
        <v>-1</v>
      </c>
      <c r="E110" s="13"/>
      <c r="F110" s="3">
        <v>0</v>
      </c>
      <c r="G110" s="3">
        <v>1</v>
      </c>
      <c r="H110" s="7">
        <v>1</v>
      </c>
      <c r="I110" s="3">
        <v>187</v>
      </c>
      <c r="J110" s="7" t="s">
        <v>28</v>
      </c>
      <c r="K110" s="7" t="s">
        <v>8</v>
      </c>
      <c r="L110" s="11" t="str">
        <f t="shared" si="13"/>
        <v xml:space="preserve">"ADSR on Mix 3", </v>
      </c>
      <c r="M110" s="11" t="str">
        <f t="shared" si="14"/>
        <v xml:space="preserve">NULL, </v>
      </c>
      <c r="N110" s="11" t="str">
        <f>IF(J110="NULL",CONCATENATE(J110,", "),CONCATENATE("tm_",J110,", "))</f>
        <v xml:space="preserve">tm_tab, </v>
      </c>
      <c r="O110" s="10" t="str">
        <f>CONCATENATE("  {",L110,C110,", ",D110,", ",I110,", ",M110,N110,F110,", ",G110,", ",H110,"},  // Idx ", A110)</f>
        <v xml:space="preserve">  {"ADSR on Mix 3", -1, -1, 187, NULL, tm_tab, 0, 1, 1},  // Idx 108</v>
      </c>
    </row>
    <row r="111" spans="1:15" x14ac:dyDescent="0.25">
      <c r="A111" s="16">
        <f t="shared" si="12"/>
        <v>109</v>
      </c>
      <c r="B111" s="28" t="s">
        <v>67</v>
      </c>
      <c r="C111" s="13">
        <v>-1</v>
      </c>
      <c r="D111" s="13">
        <v>-1</v>
      </c>
      <c r="E111" s="13"/>
      <c r="F111" s="3">
        <v>0</v>
      </c>
      <c r="G111" s="3">
        <v>127</v>
      </c>
      <c r="H111" s="7">
        <v>0</v>
      </c>
      <c r="I111" s="3">
        <v>72</v>
      </c>
      <c r="J111" s="7" t="s">
        <v>27</v>
      </c>
      <c r="K111" s="7" t="s">
        <v>8</v>
      </c>
      <c r="L111" s="11" t="str">
        <f t="shared" si="13"/>
        <v xml:space="preserve">"Drawbar 16", </v>
      </c>
      <c r="M111" s="11" t="str">
        <f t="shared" si="14"/>
        <v xml:space="preserve">NULL, </v>
      </c>
      <c r="N111" s="11" t="str">
        <f>IF(J111="NULL",CONCATENATE(J111,", "),CONCATENATE("tm_",J111,", "))</f>
        <v xml:space="preserve">tm_drawbar, </v>
      </c>
      <c r="O111" s="10" t="str">
        <f>CONCATENATE("  {",L111,C111,", ",D111,", ",I111,", ",M111,N111,F111,", ",G111,", ",H111,"},  // Idx ", A111)</f>
        <v xml:space="preserve">  {"Drawbar 16", -1, -1, 72, NULL, tm_drawbar, 0, 127, 0},  // Idx 109</v>
      </c>
    </row>
    <row r="112" spans="1:15" x14ac:dyDescent="0.25">
      <c r="A112" s="16">
        <f t="shared" si="12"/>
        <v>110</v>
      </c>
      <c r="B112" s="28" t="s">
        <v>189</v>
      </c>
      <c r="C112" s="13">
        <v>-1</v>
      </c>
      <c r="D112" s="13">
        <v>-1</v>
      </c>
      <c r="E112" s="13"/>
      <c r="F112" s="3">
        <v>0</v>
      </c>
      <c r="G112" s="3">
        <v>127</v>
      </c>
      <c r="H112" s="7">
        <v>0</v>
      </c>
      <c r="I112" s="3">
        <v>73</v>
      </c>
      <c r="J112" s="7" t="s">
        <v>27</v>
      </c>
      <c r="K112" s="7" t="s">
        <v>8</v>
      </c>
      <c r="L112" s="11" t="str">
        <f t="shared" si="13"/>
        <v xml:space="preserve">"Drawbar 16H", </v>
      </c>
      <c r="M112" s="11" t="str">
        <f t="shared" si="14"/>
        <v xml:space="preserve">NULL, </v>
      </c>
      <c r="N112" s="11" t="str">
        <f>IF(J112="NULL",CONCATENATE(J112,", "),CONCATENATE("tm_",J112,", "))</f>
        <v xml:space="preserve">tm_drawbar, </v>
      </c>
      <c r="O112" s="10" t="str">
        <f>CONCATENATE("  {",L112,C112,", ",D112,", ",I112,", ",M112,N112,F112,", ",G112,", ",H112,"},  // Idx ", A112)</f>
        <v xml:space="preserve">  {"Drawbar 16H", -1, -1, 73, NULL, tm_drawbar, 0, 127, 0},  // Idx 110</v>
      </c>
    </row>
    <row r="113" spans="1:15" x14ac:dyDescent="0.25">
      <c r="A113" s="16">
        <f t="shared" si="12"/>
        <v>111</v>
      </c>
      <c r="B113" s="28" t="s">
        <v>69</v>
      </c>
      <c r="C113" s="13">
        <v>-1</v>
      </c>
      <c r="D113" s="13">
        <v>-1</v>
      </c>
      <c r="E113" s="13"/>
      <c r="F113" s="3">
        <v>0</v>
      </c>
      <c r="G113" s="3">
        <v>127</v>
      </c>
      <c r="H113" s="7">
        <v>0</v>
      </c>
      <c r="I113" s="3">
        <v>74</v>
      </c>
      <c r="J113" s="7" t="s">
        <v>27</v>
      </c>
      <c r="K113" s="7" t="s">
        <v>8</v>
      </c>
      <c r="L113" s="11" t="str">
        <f t="shared" si="13"/>
        <v xml:space="preserve">"Drawbar 8", </v>
      </c>
      <c r="M113" s="11" t="str">
        <f t="shared" si="14"/>
        <v xml:space="preserve">NULL, </v>
      </c>
      <c r="N113" s="11" t="str">
        <f>IF(J113="NULL",CONCATENATE(J113,", "),CONCATENATE("tm_",J113,", "))</f>
        <v xml:space="preserve">tm_drawbar, </v>
      </c>
      <c r="O113" s="10" t="str">
        <f>CONCATENATE("  {",L113,C113,", ",D113,", ",I113,", ",M113,N113,F113,", ",G113,", ",H113,"},  // Idx ", A113)</f>
        <v xml:space="preserve">  {"Drawbar 8", -1, -1, 74, NULL, tm_drawbar, 0, 127, 0},  // Idx 111</v>
      </c>
    </row>
    <row r="114" spans="1:15" x14ac:dyDescent="0.25">
      <c r="A114" s="16">
        <f t="shared" si="12"/>
        <v>112</v>
      </c>
      <c r="B114" s="28" t="s">
        <v>190</v>
      </c>
      <c r="C114" s="13">
        <v>-1</v>
      </c>
      <c r="D114" s="13">
        <v>-1</v>
      </c>
      <c r="E114" s="13"/>
      <c r="F114" s="3">
        <v>0</v>
      </c>
      <c r="G114" s="3">
        <v>127</v>
      </c>
      <c r="H114" s="7">
        <v>0</v>
      </c>
      <c r="I114" s="3">
        <v>75</v>
      </c>
      <c r="J114" s="7" t="s">
        <v>27</v>
      </c>
      <c r="K114" s="7" t="s">
        <v>8</v>
      </c>
      <c r="L114" s="11" t="str">
        <f t="shared" si="13"/>
        <v xml:space="preserve">"Drawbar 8H", </v>
      </c>
      <c r="M114" s="11" t="str">
        <f t="shared" si="14"/>
        <v xml:space="preserve">NULL, </v>
      </c>
      <c r="N114" s="11" t="str">
        <f>IF(J114="NULL",CONCATENATE(J114,", "),CONCATENATE("tm_",J114,", "))</f>
        <v xml:space="preserve">tm_drawbar, </v>
      </c>
      <c r="O114" s="10" t="str">
        <f>CONCATENATE("  {",L114,C114,", ",D114,", ",I114,", ",M114,N114,F114,", ",G114,", ",H114,"},  // Idx ", A114)</f>
        <v xml:space="preserve">  {"Drawbar 8H", -1, -1, 75, NULL, tm_drawbar, 0, 127, 0},  // Idx 112</v>
      </c>
    </row>
    <row r="115" spans="1:15" x14ac:dyDescent="0.25">
      <c r="A115" s="16">
        <f t="shared" si="12"/>
        <v>113</v>
      </c>
      <c r="B115" s="28" t="s">
        <v>110</v>
      </c>
      <c r="C115" s="13">
        <v>-1</v>
      </c>
      <c r="D115" s="13">
        <v>-1</v>
      </c>
      <c r="E115" s="13"/>
      <c r="F115" s="3">
        <v>0</v>
      </c>
      <c r="G115" s="3">
        <v>127</v>
      </c>
      <c r="H115" s="7">
        <v>0</v>
      </c>
      <c r="I115" s="3">
        <v>67</v>
      </c>
      <c r="J115" s="7" t="s">
        <v>27</v>
      </c>
      <c r="K115" s="7" t="s">
        <v>8</v>
      </c>
      <c r="L115" s="11" t="str">
        <f>CONCATENATE("""",B115,""", ")</f>
        <v xml:space="preserve">"Release", </v>
      </c>
      <c r="M115" s="11" t="str">
        <f>IF(K115="NULL",CONCATENATE(K115,", "),CONCATENATE("&amp;",K115,", "))</f>
        <v xml:space="preserve">NULL, </v>
      </c>
      <c r="N115" s="11" t="str">
        <f>IF(J115="NULL",CONCATENATE(J115,", "),CONCATENATE("tm_",J115,", "))</f>
        <v xml:space="preserve">tm_drawbar, </v>
      </c>
      <c r="O115" s="10" t="str">
        <f>CONCATENATE("  {",L115,C115,", ",D115,", ",I115,", ",M115,N115,F115,", ",G115,", ",H115,"},  // Idx ", A115)</f>
        <v xml:space="preserve">  {"Release", -1, -1, 67, NULL, tm_drawbar, 0, 127, 0},  // Idx 113</v>
      </c>
    </row>
    <row r="116" spans="1:15" x14ac:dyDescent="0.25">
      <c r="A116" s="16">
        <f t="shared" si="12"/>
        <v>114</v>
      </c>
      <c r="B116" s="38" t="s">
        <v>79</v>
      </c>
      <c r="C116" s="13">
        <v>-1</v>
      </c>
      <c r="D116" s="13">
        <v>-1</v>
      </c>
      <c r="E116" s="13"/>
      <c r="F116" s="3">
        <v>0</v>
      </c>
      <c r="G116" s="3">
        <v>126</v>
      </c>
      <c r="H116" s="7">
        <v>0</v>
      </c>
      <c r="I116" s="3">
        <v>240</v>
      </c>
      <c r="J116" s="7" t="s">
        <v>26</v>
      </c>
      <c r="K116" s="7" t="s">
        <v>8</v>
      </c>
      <c r="L116" s="11" t="str">
        <f t="shared" ref="L116:L122" si="15">CONCATENATE("""",B116,""", ")</f>
        <v xml:space="preserve">"GM Prg 1", </v>
      </c>
      <c r="M116" s="11" t="str">
        <f t="shared" ref="M116:M122" si="16">IF(K116="NULL",CONCATENATE(K116,", "),CONCATENATE("&amp;",K116,", "))</f>
        <v xml:space="preserve">NULL, </v>
      </c>
      <c r="N116" s="11" t="str">
        <f>IF(J116="NULL",CONCATENATE(J116,", "),CONCATENATE("tm_",J116,", "))</f>
        <v xml:space="preserve">tm_numeric, </v>
      </c>
      <c r="O116" s="10" t="str">
        <f>CONCATENATE("  {",L116,C116,", ",D116,", ",I116,", ",M116,N116,F116,", ",G116,", ",H116,"},  // Idx ", A116)</f>
        <v xml:space="preserve">  {"GM Prg 1", -1, -1, 240, NULL, tm_numeric, 0, 126, 0},  // Idx 114</v>
      </c>
    </row>
    <row r="117" spans="1:15" x14ac:dyDescent="0.25">
      <c r="A117" s="16">
        <f t="shared" si="12"/>
        <v>115</v>
      </c>
      <c r="B117" s="38" t="s">
        <v>159</v>
      </c>
      <c r="C117" s="13">
        <v>-1</v>
      </c>
      <c r="D117" s="13">
        <v>-1</v>
      </c>
      <c r="E117" s="13"/>
      <c r="F117" s="3">
        <v>0</v>
      </c>
      <c r="G117" s="3">
        <v>127</v>
      </c>
      <c r="H117" s="7">
        <v>0</v>
      </c>
      <c r="I117" s="3">
        <v>241</v>
      </c>
      <c r="J117" s="7" t="s">
        <v>146</v>
      </c>
      <c r="K117" s="7" t="s">
        <v>8</v>
      </c>
      <c r="L117" s="11" t="str">
        <f t="shared" si="15"/>
        <v xml:space="preserve">"GM Level 1", </v>
      </c>
      <c r="M117" s="11" t="str">
        <f t="shared" si="16"/>
        <v xml:space="preserve">NULL, </v>
      </c>
      <c r="N117" s="11" t="str">
        <f>IF(J117="NULL",CONCATENATE(J117,", "),CONCATENATE("tm_",J117,", "))</f>
        <v xml:space="preserve">tm_pot, </v>
      </c>
      <c r="O117" s="10" t="str">
        <f>CONCATENATE("  {",L117,C117,", ",D117,", ",I117,", ",M117,N117,F117,", ",G117,", ",H117,"},  // Idx ", A117)</f>
        <v xml:space="preserve">  {"GM Level 1", -1, -1, 241, NULL, tm_pot, 0, 127, 0},  // Idx 115</v>
      </c>
    </row>
    <row r="118" spans="1:15" x14ac:dyDescent="0.25">
      <c r="A118" s="16">
        <f t="shared" si="12"/>
        <v>116</v>
      </c>
      <c r="B118" s="38" t="s">
        <v>83</v>
      </c>
      <c r="C118" s="13">
        <v>-1</v>
      </c>
      <c r="D118" s="13">
        <v>-1</v>
      </c>
      <c r="E118" s="13"/>
      <c r="F118" s="3">
        <v>0</v>
      </c>
      <c r="G118" s="3">
        <v>5</v>
      </c>
      <c r="H118" s="7">
        <v>0</v>
      </c>
      <c r="I118" s="3">
        <v>242</v>
      </c>
      <c r="J118" s="7" t="s">
        <v>26</v>
      </c>
      <c r="K118" s="7" t="s">
        <v>8</v>
      </c>
      <c r="L118" s="11" t="str">
        <f t="shared" si="15"/>
        <v xml:space="preserve">"GM Harm1", </v>
      </c>
      <c r="M118" s="11" t="str">
        <f t="shared" si="16"/>
        <v xml:space="preserve">NULL, </v>
      </c>
      <c r="N118" s="11" t="str">
        <f>IF(J118="NULL",CONCATENATE(J118,", "),CONCATENATE("tm_",J118,", "))</f>
        <v xml:space="preserve">tm_numeric, </v>
      </c>
      <c r="O118" s="10" t="str">
        <f>CONCATENATE("  {",L118,C118,", ",D118,", ",I118,", ",M118,N118,F118,", ",G118,", ",H118,"},  // Idx ", A118)</f>
        <v xml:space="preserve">  {"GM Harm1", -1, -1, 242, NULL, tm_numeric, 0, 5, 0},  // Idx 116</v>
      </c>
    </row>
    <row r="119" spans="1:15" x14ac:dyDescent="0.25">
      <c r="A119" s="16">
        <f t="shared" si="12"/>
        <v>117</v>
      </c>
      <c r="B119" s="38" t="s">
        <v>81</v>
      </c>
      <c r="C119" s="13">
        <v>-1</v>
      </c>
      <c r="D119" s="13">
        <v>-1</v>
      </c>
      <c r="E119" s="13"/>
      <c r="F119" s="3">
        <v>0</v>
      </c>
      <c r="G119" s="3">
        <v>126</v>
      </c>
      <c r="H119" s="7">
        <v>1</v>
      </c>
      <c r="I119" s="3">
        <v>243</v>
      </c>
      <c r="J119" s="7" t="s">
        <v>26</v>
      </c>
      <c r="K119" s="7" t="s">
        <v>8</v>
      </c>
      <c r="L119" s="11" t="str">
        <f t="shared" si="15"/>
        <v xml:space="preserve">"GM Prg 2", </v>
      </c>
      <c r="M119" s="11" t="str">
        <f t="shared" si="16"/>
        <v xml:space="preserve">NULL, </v>
      </c>
      <c r="N119" s="11" t="str">
        <f>IF(J119="NULL",CONCATENATE(J119,", "),CONCATENATE("tm_",J119,", "))</f>
        <v xml:space="preserve">tm_numeric, </v>
      </c>
      <c r="O119" s="10" t="str">
        <f>CONCATENATE("  {",L119,C119,", ",D119,", ",I119,", ",M119,N119,F119,", ",G119,", ",H119,"},  // Idx ", A119)</f>
        <v xml:space="preserve">  {"GM Prg 2", -1, -1, 243, NULL, tm_numeric, 0, 126, 1},  // Idx 117</v>
      </c>
    </row>
    <row r="120" spans="1:15" x14ac:dyDescent="0.25">
      <c r="A120" s="16">
        <f t="shared" si="12"/>
        <v>118</v>
      </c>
      <c r="B120" s="38" t="s">
        <v>160</v>
      </c>
      <c r="C120" s="13">
        <v>-1</v>
      </c>
      <c r="D120" s="13">
        <v>-1</v>
      </c>
      <c r="E120" s="13"/>
      <c r="F120" s="3">
        <v>0</v>
      </c>
      <c r="G120" s="3">
        <v>127</v>
      </c>
      <c r="H120" s="7">
        <v>1</v>
      </c>
      <c r="I120" s="3">
        <v>244</v>
      </c>
      <c r="J120" s="7" t="s">
        <v>146</v>
      </c>
      <c r="K120" s="7" t="s">
        <v>8</v>
      </c>
      <c r="L120" s="11" t="str">
        <f t="shared" si="15"/>
        <v xml:space="preserve">"GM Level 2", </v>
      </c>
      <c r="M120" s="11" t="str">
        <f t="shared" si="16"/>
        <v xml:space="preserve">NULL, </v>
      </c>
      <c r="N120" s="11" t="str">
        <f>IF(J120="NULL",CONCATENATE(J120,", "),CONCATENATE("tm_",J120,", "))</f>
        <v xml:space="preserve">tm_pot, </v>
      </c>
      <c r="O120" s="10" t="str">
        <f>CONCATENATE("  {",L120,C120,", ",D120,", ",I120,", ",M120,N120,F120,", ",G120,", ",H120,"},  // Idx ", A120)</f>
        <v xml:space="preserve">  {"GM Level 2", -1, -1, 244, NULL, tm_pot, 0, 127, 1},  // Idx 118</v>
      </c>
    </row>
    <row r="121" spans="1:15" x14ac:dyDescent="0.25">
      <c r="A121" s="16">
        <f t="shared" si="12"/>
        <v>119</v>
      </c>
      <c r="B121" s="38" t="s">
        <v>82</v>
      </c>
      <c r="C121" s="13">
        <v>-1</v>
      </c>
      <c r="D121" s="13">
        <v>-1</v>
      </c>
      <c r="E121" s="13"/>
      <c r="F121" s="3">
        <v>0</v>
      </c>
      <c r="G121" s="3">
        <v>5</v>
      </c>
      <c r="H121" s="7">
        <v>1</v>
      </c>
      <c r="I121" s="3">
        <v>245</v>
      </c>
      <c r="J121" s="7" t="s">
        <v>26</v>
      </c>
      <c r="K121" s="7" t="s">
        <v>8</v>
      </c>
      <c r="L121" s="11" t="str">
        <f t="shared" si="15"/>
        <v xml:space="preserve">"GM Harm2", </v>
      </c>
      <c r="M121" s="11" t="str">
        <f t="shared" si="16"/>
        <v xml:space="preserve">NULL, </v>
      </c>
      <c r="N121" s="11" t="str">
        <f>IF(J121="NULL",CONCATENATE(J121,", "),CONCATENATE("tm_",J121,", "))</f>
        <v xml:space="preserve">tm_numeric, </v>
      </c>
      <c r="O121" s="10" t="str">
        <f>CONCATENATE("  {",L121,C121,", ",D121,", ",I121,", ",M121,N121,F121,", ",G121,", ",H121,"},  // Idx ", A121)</f>
        <v xml:space="preserve">  {"GM Harm2", -1, -1, 245, NULL, tm_numeric, 0, 5, 1},  // Idx 119</v>
      </c>
    </row>
    <row r="122" spans="1:15" x14ac:dyDescent="0.25">
      <c r="A122" s="16">
        <f t="shared" si="12"/>
        <v>120</v>
      </c>
      <c r="B122" s="38" t="s">
        <v>119</v>
      </c>
      <c r="C122" s="13">
        <v>-1</v>
      </c>
      <c r="D122" s="13">
        <v>-1</v>
      </c>
      <c r="E122" s="13"/>
      <c r="F122" s="3">
        <v>0</v>
      </c>
      <c r="G122" s="3">
        <v>15</v>
      </c>
      <c r="H122" s="7">
        <v>1</v>
      </c>
      <c r="I122" s="3">
        <v>246</v>
      </c>
      <c r="J122" s="7" t="s">
        <v>146</v>
      </c>
      <c r="K122" s="7" t="s">
        <v>8</v>
      </c>
      <c r="L122" s="11" t="str">
        <f t="shared" si="15"/>
        <v xml:space="preserve">"GM Detune 2", </v>
      </c>
      <c r="M122" s="11" t="str">
        <f t="shared" si="16"/>
        <v xml:space="preserve">NULL, </v>
      </c>
      <c r="N122" s="11" t="str">
        <f>IF(J122="NULL",CONCATENATE(J122,", "),CONCATENATE("tm_",J122,", "))</f>
        <v xml:space="preserve">tm_pot, </v>
      </c>
      <c r="O122" s="10" t="str">
        <f>CONCATENATE("  {",L122,C122,", ",D122,", ",I122,", ",M122,N122,F122,", ",G122,", ",H122,"},  // Idx ", A122)</f>
        <v xml:space="preserve">  {"GM Detune 2", -1, -1, 246, NULL, tm_pot, 0, 15, 1},  // Idx 120</v>
      </c>
    </row>
    <row r="123" spans="1:15" x14ac:dyDescent="0.25">
      <c r="A123" s="16">
        <f t="shared" si="12"/>
        <v>121</v>
      </c>
      <c r="B123" s="42" t="s">
        <v>107</v>
      </c>
      <c r="C123" s="13">
        <v>-1</v>
      </c>
      <c r="D123" s="13">
        <v>-1</v>
      </c>
      <c r="E123" s="13"/>
      <c r="F123" s="3">
        <v>0</v>
      </c>
      <c r="G123" s="3">
        <v>127</v>
      </c>
      <c r="H123" s="7">
        <v>1</v>
      </c>
      <c r="I123" s="3">
        <v>64</v>
      </c>
      <c r="J123" s="7" t="s">
        <v>146</v>
      </c>
      <c r="K123" s="7" t="s">
        <v>8</v>
      </c>
      <c r="L123" s="11" t="str">
        <f t="shared" ref="L123:L127" si="17">CONCATENATE("""",B123,""", ")</f>
        <v xml:space="preserve">"Attack", </v>
      </c>
      <c r="M123" s="11" t="str">
        <f t="shared" ref="M123:M127" si="18">IF(K123="NULL",CONCATENATE(K123,", "),CONCATENATE("&amp;",K123,", "))</f>
        <v xml:space="preserve">NULL, </v>
      </c>
      <c r="N123" s="11" t="str">
        <f>IF(J123="NULL",CONCATENATE(J123,", "),CONCATENATE("tm_",J123,", "))</f>
        <v xml:space="preserve">tm_pot, </v>
      </c>
      <c r="O123" s="10" t="str">
        <f>CONCATENATE("  {",L123,C123,", ",D123,", ",I123,", ",M123,N123,F123,", ",G123,", ",H123,"},  // Idx ", A123)</f>
        <v xml:space="preserve">  {"Attack", -1, -1, 64, NULL, tm_pot, 0, 127, 1},  // Idx 121</v>
      </c>
    </row>
    <row r="124" spans="1:15" x14ac:dyDescent="0.25">
      <c r="A124" s="16">
        <f t="shared" si="12"/>
        <v>122</v>
      </c>
      <c r="B124" s="42" t="s">
        <v>108</v>
      </c>
      <c r="C124" s="13">
        <v>-1</v>
      </c>
      <c r="D124" s="13">
        <v>-1</v>
      </c>
      <c r="E124" s="13"/>
      <c r="F124" s="3">
        <v>0</v>
      </c>
      <c r="G124" s="3">
        <v>127</v>
      </c>
      <c r="H124" s="7">
        <v>1</v>
      </c>
      <c r="I124" s="3">
        <v>65</v>
      </c>
      <c r="J124" s="7" t="s">
        <v>146</v>
      </c>
      <c r="K124" s="7" t="s">
        <v>8</v>
      </c>
      <c r="L124" s="11" t="str">
        <f t="shared" si="17"/>
        <v xml:space="preserve">"Decay", </v>
      </c>
      <c r="M124" s="11" t="str">
        <f t="shared" si="18"/>
        <v xml:space="preserve">NULL, </v>
      </c>
      <c r="N124" s="11" t="str">
        <f>IF(J124="NULL",CONCATENATE(J124,", "),CONCATENATE("tm_",J124,", "))</f>
        <v xml:space="preserve">tm_pot, </v>
      </c>
      <c r="O124" s="10" t="str">
        <f>CONCATENATE("  {",L124,C124,", ",D124,", ",I124,", ",M124,N124,F124,", ",G124,", ",H124,"},  // Idx ", A124)</f>
        <v xml:space="preserve">  {"Decay", -1, -1, 65, NULL, tm_pot, 0, 127, 1},  // Idx 122</v>
      </c>
    </row>
    <row r="125" spans="1:15" x14ac:dyDescent="0.25">
      <c r="A125" s="16">
        <f t="shared" ref="A125:A200" si="19">A124+1</f>
        <v>123</v>
      </c>
      <c r="B125" s="42" t="s">
        <v>109</v>
      </c>
      <c r="C125" s="13">
        <v>-1</v>
      </c>
      <c r="D125" s="13">
        <v>-1</v>
      </c>
      <c r="E125" s="13"/>
      <c r="F125" s="3">
        <v>0</v>
      </c>
      <c r="G125" s="3">
        <v>127</v>
      </c>
      <c r="H125" s="7">
        <v>1</v>
      </c>
      <c r="I125" s="3">
        <v>66</v>
      </c>
      <c r="J125" s="7" t="s">
        <v>146</v>
      </c>
      <c r="K125" s="7" t="s">
        <v>8</v>
      </c>
      <c r="L125" s="11" t="str">
        <f t="shared" si="17"/>
        <v xml:space="preserve">"Sustain", </v>
      </c>
      <c r="M125" s="11" t="str">
        <f t="shared" si="18"/>
        <v xml:space="preserve">NULL, </v>
      </c>
      <c r="N125" s="11" t="str">
        <f>IF(J125="NULL",CONCATENATE(J125,", "),CONCATENATE("tm_",J125,", "))</f>
        <v xml:space="preserve">tm_pot, </v>
      </c>
      <c r="O125" s="10" t="str">
        <f>CONCATENATE("  {",L125,C125,", ",D125,", ",I125,", ",M125,N125,F125,", ",G125,", ",H125,"},  // Idx ", A125)</f>
        <v xml:space="preserve">  {"Sustain", -1, -1, 66, NULL, tm_pot, 0, 127, 1},  // Idx 123</v>
      </c>
    </row>
    <row r="126" spans="1:15" x14ac:dyDescent="0.25">
      <c r="A126" s="16">
        <f t="shared" si="19"/>
        <v>124</v>
      </c>
      <c r="B126" s="42" t="s">
        <v>110</v>
      </c>
      <c r="C126" s="13">
        <v>-1</v>
      </c>
      <c r="D126" s="13">
        <v>-1</v>
      </c>
      <c r="E126" s="13"/>
      <c r="F126" s="3">
        <v>0</v>
      </c>
      <c r="G126" s="3">
        <v>127</v>
      </c>
      <c r="H126" s="7">
        <v>1</v>
      </c>
      <c r="I126" s="3">
        <v>67</v>
      </c>
      <c r="J126" s="7" t="s">
        <v>146</v>
      </c>
      <c r="K126" s="7" t="s">
        <v>8</v>
      </c>
      <c r="L126" s="11" t="str">
        <f t="shared" si="17"/>
        <v xml:space="preserve">"Release", </v>
      </c>
      <c r="M126" s="11" t="str">
        <f t="shared" si="18"/>
        <v xml:space="preserve">NULL, </v>
      </c>
      <c r="N126" s="11" t="str">
        <f>IF(J126="NULL",CONCATENATE(J126,", "),CONCATENATE("tm_",J126,", "))</f>
        <v xml:space="preserve">tm_pot, </v>
      </c>
      <c r="O126" s="10" t="str">
        <f>CONCATENATE("  {",L126,C126,", ",D126,", ",I126,", ",M126,N126,F126,", ",G126,", ",H126,"},  // Idx ", A126)</f>
        <v xml:space="preserve">  {"Release", -1, -1, 67, NULL, tm_pot, 0, 127, 1},  // Idx 124</v>
      </c>
    </row>
    <row r="127" spans="1:15" x14ac:dyDescent="0.25">
      <c r="A127" s="16">
        <f t="shared" si="19"/>
        <v>125</v>
      </c>
      <c r="B127" s="42" t="s">
        <v>111</v>
      </c>
      <c r="C127" s="13">
        <v>-1</v>
      </c>
      <c r="D127" s="13">
        <v>-1</v>
      </c>
      <c r="E127" s="13"/>
      <c r="F127" s="3">
        <v>0</v>
      </c>
      <c r="G127" s="3">
        <v>127</v>
      </c>
      <c r="H127" s="7">
        <v>1</v>
      </c>
      <c r="I127" s="3">
        <v>68</v>
      </c>
      <c r="J127" s="7" t="s">
        <v>146</v>
      </c>
      <c r="K127" s="7" t="s">
        <v>8</v>
      </c>
      <c r="L127" s="11" t="str">
        <f t="shared" si="17"/>
        <v xml:space="preserve">"ADSR Harmonic", </v>
      </c>
      <c r="M127" s="11" t="str">
        <f t="shared" si="18"/>
        <v xml:space="preserve">NULL, </v>
      </c>
      <c r="N127" s="11" t="str">
        <f>IF(J127="NULL",CONCATENATE(J127,", "),CONCATENATE("tm_",J127,", "))</f>
        <v xml:space="preserve">tm_pot, </v>
      </c>
      <c r="O127" s="10" t="str">
        <f>CONCATENATE("  {",L127,C127,", ",D127,", ",I127,", ",M127,N127,F127,", ",G127,", ",H127,"},  // Idx ", A127)</f>
        <v xml:space="preserve">  {"ADSR Harmonic", -1, -1, 68, NULL, tm_pot, 0, 127, 1},  // Idx 125</v>
      </c>
    </row>
    <row r="128" spans="1:15" x14ac:dyDescent="0.25">
      <c r="A128" s="16">
        <f t="shared" si="19"/>
        <v>126</v>
      </c>
      <c r="B128" s="29" t="s">
        <v>155</v>
      </c>
      <c r="C128" s="13">
        <v>-1</v>
      </c>
      <c r="D128" s="13">
        <v>-1</v>
      </c>
      <c r="E128" s="13"/>
      <c r="F128" s="5">
        <v>0</v>
      </c>
      <c r="G128" s="5">
        <v>1</v>
      </c>
      <c r="H128" s="7">
        <v>0</v>
      </c>
      <c r="I128" s="5">
        <v>128</v>
      </c>
      <c r="J128" s="7" t="s">
        <v>28</v>
      </c>
      <c r="K128" s="7" t="s">
        <v>8</v>
      </c>
      <c r="L128" s="11" t="str">
        <f>CONCATENATE("""",B128,""", ")</f>
        <v xml:space="preserve">"Percussion", </v>
      </c>
      <c r="M128" s="11" t="str">
        <f>IF(K128="NULL",CONCATENATE(K128,", "),CONCATENATE("&amp;",K128,", "))</f>
        <v xml:space="preserve">NULL, </v>
      </c>
      <c r="N128" s="11" t="str">
        <f>IF(J128="NULL",CONCATENATE(J128,", "),CONCATENATE("tm_",J128,", "))</f>
        <v xml:space="preserve">tm_tab, </v>
      </c>
      <c r="O128" s="10" t="str">
        <f>CONCATENATE("  {",L128,C128,", ",D128,", ",I128,", ",M128,N128,F128,", ",G128,", ",H128,"},  // Idx ", A128)</f>
        <v xml:space="preserve">  {"Percussion", -1, -1, 128, NULL, tm_tab, 0, 1, 0},  // Idx 126</v>
      </c>
    </row>
    <row r="129" spans="1:16" x14ac:dyDescent="0.25">
      <c r="A129" s="16">
        <f t="shared" si="19"/>
        <v>127</v>
      </c>
      <c r="B129" s="29" t="s">
        <v>16</v>
      </c>
      <c r="C129" s="13">
        <v>-1</v>
      </c>
      <c r="D129" s="13">
        <v>-1</v>
      </c>
      <c r="E129" s="13"/>
      <c r="F129" s="5">
        <v>0</v>
      </c>
      <c r="G129" s="5">
        <v>1</v>
      </c>
      <c r="H129" s="7">
        <v>0</v>
      </c>
      <c r="I129" s="5">
        <v>129</v>
      </c>
      <c r="J129" s="7" t="s">
        <v>28</v>
      </c>
      <c r="K129" s="7" t="s">
        <v>8</v>
      </c>
      <c r="L129" s="11" t="str">
        <f>CONCATENATE("""",B129,""", ")</f>
        <v xml:space="preserve">"Perc Soft", </v>
      </c>
      <c r="M129" s="11" t="str">
        <f>IF(K129="NULL",CONCATENATE(K129,", "),CONCATENATE("&amp;",K129,", "))</f>
        <v xml:space="preserve">NULL, </v>
      </c>
      <c r="N129" s="11" t="str">
        <f>IF(J129="NULL",CONCATENATE(J129,", "),CONCATENATE("tm_",J129,", "))</f>
        <v xml:space="preserve">tm_tab, </v>
      </c>
      <c r="O129" s="10" t="str">
        <f>CONCATENATE("  {",L129,C129,", ",D129,", ",I129,", ",M129,N129,F129,", ",G129,", ",H129,"},  // Idx ", A129)</f>
        <v xml:space="preserve">  {"Perc Soft", -1, -1, 129, NULL, tm_tab, 0, 1, 0},  // Idx 127</v>
      </c>
    </row>
    <row r="130" spans="1:16" x14ac:dyDescent="0.25">
      <c r="A130" s="16">
        <f t="shared" si="19"/>
        <v>128</v>
      </c>
      <c r="B130" s="29" t="s">
        <v>17</v>
      </c>
      <c r="C130" s="13">
        <v>-1</v>
      </c>
      <c r="D130" s="13">
        <v>-1</v>
      </c>
      <c r="E130" s="13"/>
      <c r="F130" s="5">
        <v>0</v>
      </c>
      <c r="G130" s="5">
        <v>1</v>
      </c>
      <c r="H130" s="7">
        <v>0</v>
      </c>
      <c r="I130" s="5">
        <v>130</v>
      </c>
      <c r="J130" s="7" t="s">
        <v>28</v>
      </c>
      <c r="K130" s="7" t="s">
        <v>8</v>
      </c>
      <c r="L130" s="11" t="str">
        <f>CONCATENATE("""",B130,""", ")</f>
        <v xml:space="preserve">"Perc Fast", </v>
      </c>
      <c r="M130" s="11" t="str">
        <f>IF(K130="NULL",CONCATENATE(K130,", "),CONCATENATE("&amp;",K130,", "))</f>
        <v xml:space="preserve">NULL, </v>
      </c>
      <c r="N130" s="11" t="str">
        <f>IF(J130="NULL",CONCATENATE(J130,", "),CONCATENATE("tm_",J130,", "))</f>
        <v xml:space="preserve">tm_tab, </v>
      </c>
      <c r="O130" s="10" t="str">
        <f>CONCATENATE("  {",L130,C130,", ",D130,", ",I130,", ",M130,N130,F130,", ",G130,", ",H130,"},  // Idx ", A130)</f>
        <v xml:space="preserve">  {"Perc Fast", -1, -1, 130, NULL, tm_tab, 0, 1, 0},  // Idx 128</v>
      </c>
    </row>
    <row r="131" spans="1:16" x14ac:dyDescent="0.25">
      <c r="A131" s="16">
        <f t="shared" si="19"/>
        <v>129</v>
      </c>
      <c r="B131" s="29" t="s">
        <v>18</v>
      </c>
      <c r="C131" s="13">
        <v>-1</v>
      </c>
      <c r="D131" s="13">
        <v>-1</v>
      </c>
      <c r="E131" s="13"/>
      <c r="F131" s="5">
        <v>0</v>
      </c>
      <c r="G131" s="5">
        <v>1</v>
      </c>
      <c r="H131" s="7">
        <v>0</v>
      </c>
      <c r="I131" s="5">
        <v>131</v>
      </c>
      <c r="J131" s="7" t="s">
        <v>28</v>
      </c>
      <c r="K131" s="7" t="s">
        <v>8</v>
      </c>
      <c r="L131" s="11" t="str">
        <f>CONCATENATE("""",B131,""", ")</f>
        <v xml:space="preserve">"Perc Third", </v>
      </c>
      <c r="M131" s="11" t="str">
        <f>IF(K131="NULL",CONCATENATE(K131,", "),CONCATENATE("&amp;",K131,", "))</f>
        <v xml:space="preserve">NULL, </v>
      </c>
      <c r="N131" s="11" t="str">
        <f>IF(J131="NULL",CONCATENATE(J131,", "),CONCATENATE("tm_",J131,", "))</f>
        <v xml:space="preserve">tm_tab, </v>
      </c>
      <c r="O131" s="10" t="str">
        <f>CONCATENATE("  {",L131,C131,", ",D131,", ",I131,", ",M131,N131,F131,", ",G131,", ",H131,"},  // Idx ", A131)</f>
        <v xml:space="preserve">  {"Perc Third", -1, -1, 131, NULL, tm_tab, 0, 1, 0},  // Idx 129</v>
      </c>
    </row>
    <row r="132" spans="1:16" x14ac:dyDescent="0.25">
      <c r="A132" s="16">
        <f t="shared" si="19"/>
        <v>130</v>
      </c>
      <c r="B132" s="29" t="s">
        <v>20</v>
      </c>
      <c r="C132" s="13">
        <v>-1</v>
      </c>
      <c r="D132" s="13">
        <v>-1</v>
      </c>
      <c r="E132" s="13"/>
      <c r="F132" s="5">
        <v>0</v>
      </c>
      <c r="G132" s="5">
        <v>1</v>
      </c>
      <c r="H132" s="7">
        <v>0</v>
      </c>
      <c r="I132" s="5">
        <v>133</v>
      </c>
      <c r="J132" s="7" t="s">
        <v>28</v>
      </c>
      <c r="K132" s="7" t="s">
        <v>8</v>
      </c>
      <c r="L132" s="11" t="str">
        <f>CONCATENATE("""",B132,""", ")</f>
        <v xml:space="preserve">"Vib On Lower", </v>
      </c>
      <c r="M132" s="11" t="str">
        <f>IF(K132="NULL",CONCATENATE(K132,", "),CONCATENATE("&amp;",K132,", "))</f>
        <v xml:space="preserve">NULL, </v>
      </c>
      <c r="N132" s="11" t="str">
        <f>IF(J132="NULL",CONCATENATE(J132,", "),CONCATENATE("tm_",J132,", "))</f>
        <v xml:space="preserve">tm_tab, </v>
      </c>
      <c r="O132" s="10" t="str">
        <f>CONCATENATE("  {",L132,C132,", ",D132,", ",I132,", ",M132,N132,F132,", ",G132,", ",H132,"},  // Idx ", A132)</f>
        <v xml:space="preserve">  {"Vib On Lower", -1, -1, 133, NULL, tm_tab, 0, 1, 0},  // Idx 130</v>
      </c>
    </row>
    <row r="133" spans="1:16" x14ac:dyDescent="0.25">
      <c r="A133" s="16">
        <f t="shared" si="19"/>
        <v>131</v>
      </c>
      <c r="B133" s="29" t="s">
        <v>21</v>
      </c>
      <c r="C133" s="13">
        <v>-1</v>
      </c>
      <c r="D133" s="13">
        <v>-1</v>
      </c>
      <c r="E133" s="13"/>
      <c r="F133" s="5">
        <v>0</v>
      </c>
      <c r="G133" s="5">
        <v>1</v>
      </c>
      <c r="H133" s="7">
        <v>0</v>
      </c>
      <c r="I133" s="5">
        <v>134</v>
      </c>
      <c r="J133" s="7" t="s">
        <v>28</v>
      </c>
      <c r="K133" s="7" t="s">
        <v>8</v>
      </c>
      <c r="L133" s="11" t="str">
        <f>CONCATENATE("""",B133,""", ")</f>
        <v xml:space="preserve">"Vib On Upper", </v>
      </c>
      <c r="M133" s="11" t="str">
        <f>IF(K133="NULL",CONCATENATE(K133,", "),CONCATENATE("&amp;",K133,", "))</f>
        <v xml:space="preserve">NULL, </v>
      </c>
      <c r="N133" s="11" t="str">
        <f>IF(J133="NULL",CONCATENATE(J133,", "),CONCATENATE("tm_",J133,", "))</f>
        <v xml:space="preserve">tm_tab, </v>
      </c>
      <c r="O133" s="10" t="str">
        <f>CONCATENATE("  {",L133,C133,", ",D133,", ",I133,", ",M133,N133,F133,", ",G133,", ",H133,"},  // Idx ", A133)</f>
        <v xml:space="preserve">  {"Vib On Upper", -1, -1, 134, NULL, tm_tab, 0, 1, 0},  // Idx 131</v>
      </c>
    </row>
    <row r="134" spans="1:16" x14ac:dyDescent="0.25">
      <c r="A134" s="16">
        <f t="shared" si="19"/>
        <v>132</v>
      </c>
      <c r="B134" s="29" t="s">
        <v>19</v>
      </c>
      <c r="C134" s="13">
        <v>-1</v>
      </c>
      <c r="D134" s="13">
        <v>-1</v>
      </c>
      <c r="E134" s="13"/>
      <c r="F134" s="5">
        <v>0</v>
      </c>
      <c r="G134" s="5">
        <v>5</v>
      </c>
      <c r="H134" s="7">
        <v>0</v>
      </c>
      <c r="I134" s="5">
        <v>264</v>
      </c>
      <c r="J134" s="7" t="s">
        <v>156</v>
      </c>
      <c r="K134" s="7" t="s">
        <v>8</v>
      </c>
      <c r="L134" s="11" t="str">
        <f>CONCATENATE("""",B134,""", ")</f>
        <v xml:space="preserve">"Vib Knob", </v>
      </c>
      <c r="M134" s="11" t="str">
        <f>IF(K134="NULL",CONCATENATE(K134,", "),CONCATENATE("&amp;",K134,", "))</f>
        <v xml:space="preserve">NULL, </v>
      </c>
      <c r="N134" s="11" t="str">
        <f>IF(J134="NULL",CONCATENATE(J134,", "),CONCATENATE("tm_",J134,", "))</f>
        <v xml:space="preserve">tm_vibknob, </v>
      </c>
      <c r="O134" s="10" t="str">
        <f>CONCATENATE("  {",L134,C134,", ",D134,", ",I134,", ",M134,N134,F134,", ",G134,", ",H134,"},  // Idx ", A134)</f>
        <v xml:space="preserve">  {"Vib Knob", -1, -1, 264, NULL, tm_vibknob, 0, 5, 0},  // Idx 132</v>
      </c>
    </row>
    <row r="135" spans="1:16" x14ac:dyDescent="0.25">
      <c r="A135" s="16">
        <f t="shared" si="19"/>
        <v>133</v>
      </c>
      <c r="B135" s="29" t="s">
        <v>64</v>
      </c>
      <c r="C135" s="13">
        <v>-1</v>
      </c>
      <c r="D135" s="13">
        <v>-1</v>
      </c>
      <c r="E135" s="13"/>
      <c r="F135" s="5">
        <v>0</v>
      </c>
      <c r="G135" s="5">
        <v>1</v>
      </c>
      <c r="H135" s="7">
        <v>0</v>
      </c>
      <c r="I135" s="5">
        <v>156</v>
      </c>
      <c r="J135" s="7" t="s">
        <v>28</v>
      </c>
      <c r="K135" s="7" t="s">
        <v>8</v>
      </c>
      <c r="L135" s="11" t="str">
        <f t="shared" ref="L135:L137" si="20">CONCATENATE("""",B135,""", ")</f>
        <v xml:space="preserve">"H100 2ndVoice", </v>
      </c>
      <c r="M135" s="11" t="str">
        <f t="shared" ref="M135:M136" si="21">IF(K135="NULL",CONCATENATE(K135,", "),CONCATENATE("&amp;",K135,", "))</f>
        <v xml:space="preserve">NULL, </v>
      </c>
      <c r="N135" s="11" t="str">
        <f>IF(J135="NULL",CONCATENATE(J135,", "),CONCATENATE("tm_",J135,", "))</f>
        <v xml:space="preserve">tm_tab, </v>
      </c>
      <c r="O135" s="10" t="str">
        <f>CONCATENATE("  {",L135,C135,", ",D135,", ",I135,", ",M135,N135,F135,", ",G135,", ",H135,"},  // Idx ", A135)</f>
        <v xml:space="preserve">  {"H100 2ndVoice", -1, -1, 156, NULL, tm_tab, 0, 1, 0},  // Idx 133</v>
      </c>
    </row>
    <row r="136" spans="1:16" x14ac:dyDescent="0.25">
      <c r="A136" s="16">
        <f t="shared" si="19"/>
        <v>134</v>
      </c>
      <c r="B136" s="29" t="s">
        <v>65</v>
      </c>
      <c r="C136" s="13">
        <v>-1</v>
      </c>
      <c r="D136" s="13">
        <v>-1</v>
      </c>
      <c r="E136" s="13"/>
      <c r="F136" s="5">
        <v>0</v>
      </c>
      <c r="G136" s="5">
        <v>1</v>
      </c>
      <c r="H136" s="7">
        <v>0</v>
      </c>
      <c r="I136" s="5">
        <v>158</v>
      </c>
      <c r="J136" s="7" t="s">
        <v>28</v>
      </c>
      <c r="K136" s="7" t="s">
        <v>8</v>
      </c>
      <c r="L136" s="11" t="str">
        <f t="shared" si="20"/>
        <v xml:space="preserve">"EG DB To Dry ", </v>
      </c>
      <c r="M136" s="11" t="str">
        <f t="shared" si="21"/>
        <v xml:space="preserve">NULL, </v>
      </c>
      <c r="N136" s="11" t="str">
        <f>IF(J136="NULL",CONCATENATE(J136,", "),CONCATENATE("tm_",J136,", "))</f>
        <v xml:space="preserve">tm_tab, </v>
      </c>
      <c r="O136" s="10" t="str">
        <f>CONCATENATE("  {",L136,C136,", ",D136,", ",I136,", ",M136,N136,F136,", ",G136,", ",H136,"},  // Idx ", A136)</f>
        <v xml:space="preserve">  {"EG DB To Dry ", -1, -1, 158, NULL, tm_tab, 0, 1, 0},  // Idx 134</v>
      </c>
    </row>
    <row r="137" spans="1:16" x14ac:dyDescent="0.25">
      <c r="A137" s="16">
        <f t="shared" si="19"/>
        <v>135</v>
      </c>
      <c r="B137" s="29" t="s">
        <v>185</v>
      </c>
      <c r="C137" s="13">
        <v>-1</v>
      </c>
      <c r="D137" s="13">
        <v>-1</v>
      </c>
      <c r="E137" s="13"/>
      <c r="F137" s="5">
        <v>0</v>
      </c>
      <c r="G137" s="5">
        <v>1</v>
      </c>
      <c r="H137" s="7">
        <v>1</v>
      </c>
      <c r="I137" s="5">
        <v>138</v>
      </c>
      <c r="J137" s="7" t="s">
        <v>28</v>
      </c>
      <c r="K137" s="7" t="s">
        <v>8</v>
      </c>
      <c r="L137" s="11" t="str">
        <f t="shared" ref="L137:L139" si="22">CONCATENATE("""",B137,""", ")</f>
        <v xml:space="preserve">"PHR On Upper", </v>
      </c>
      <c r="M137" s="11" t="str">
        <f t="shared" ref="M137:M139" si="23">IF(K137="NULL",CONCATENATE(K137,", "),CONCATENATE("&amp;",K137,", "))</f>
        <v xml:space="preserve">NULL, </v>
      </c>
      <c r="N137" s="11" t="str">
        <f t="shared" ref="N137:N139" si="24">IF(J137="NULL",CONCATENATE(J137,", "),CONCATENATE("tm_",J137,", "))</f>
        <v xml:space="preserve">tm_tab, </v>
      </c>
      <c r="O137" s="10" t="str">
        <f t="shared" ref="O137:O139" si="25">CONCATENATE("  {",L137,C137,", ",D137,", ",I137,", ",M137,N137,F137,", ",G137,", ",H137,"},  // Idx ", A137)</f>
        <v xml:space="preserve">  {"PHR On Upper", -1, -1, 138, NULL, tm_tab, 0, 1, 1},  // Idx 135</v>
      </c>
    </row>
    <row r="138" spans="1:16" x14ac:dyDescent="0.25">
      <c r="A138" s="16">
        <f t="shared" si="19"/>
        <v>136</v>
      </c>
      <c r="B138" s="29" t="s">
        <v>186</v>
      </c>
      <c r="C138" s="13">
        <v>-1</v>
      </c>
      <c r="D138" s="13">
        <v>-1</v>
      </c>
      <c r="E138" s="13"/>
      <c r="F138" s="5">
        <v>0</v>
      </c>
      <c r="G138" s="5">
        <v>1</v>
      </c>
      <c r="H138" s="7">
        <v>1</v>
      </c>
      <c r="I138" s="5">
        <v>139</v>
      </c>
      <c r="J138" s="7" t="s">
        <v>28</v>
      </c>
      <c r="K138" s="7" t="s">
        <v>8</v>
      </c>
      <c r="L138" s="11" t="str">
        <f t="shared" si="22"/>
        <v xml:space="preserve">"PHR On Lower", </v>
      </c>
      <c r="M138" s="11" t="str">
        <f t="shared" si="23"/>
        <v xml:space="preserve">NULL, </v>
      </c>
      <c r="N138" s="11" t="str">
        <f t="shared" si="24"/>
        <v xml:space="preserve">tm_tab, </v>
      </c>
      <c r="O138" s="10" t="str">
        <f t="shared" si="25"/>
        <v xml:space="preserve">  {"PHR On Lower", -1, -1, 139, NULL, tm_tab, 0, 1, 1},  // Idx 136</v>
      </c>
    </row>
    <row r="139" spans="1:16" x14ac:dyDescent="0.25">
      <c r="A139" s="16">
        <f t="shared" si="19"/>
        <v>137</v>
      </c>
      <c r="B139" s="29" t="s">
        <v>187</v>
      </c>
      <c r="C139" s="13">
        <v>-1</v>
      </c>
      <c r="D139" s="13">
        <v>-1</v>
      </c>
      <c r="E139" s="13"/>
      <c r="F139" s="5">
        <v>0</v>
      </c>
      <c r="G139" s="5">
        <v>7</v>
      </c>
      <c r="H139" s="7">
        <v>1</v>
      </c>
      <c r="I139" s="5">
        <v>257</v>
      </c>
      <c r="J139" s="7" t="s">
        <v>188</v>
      </c>
      <c r="K139" s="7" t="s">
        <v>8</v>
      </c>
      <c r="L139" s="11" t="str">
        <f t="shared" si="22"/>
        <v xml:space="preserve">"PHR Knob", </v>
      </c>
      <c r="M139" s="11" t="str">
        <f t="shared" si="23"/>
        <v xml:space="preserve">NULL, </v>
      </c>
      <c r="N139" s="11" t="str">
        <f t="shared" si="24"/>
        <v xml:space="preserve">tm_phrknob, </v>
      </c>
      <c r="O139" s="10" t="str">
        <f t="shared" si="25"/>
        <v xml:space="preserve">  {"PHR Knob", -1, -1, 257, NULL, tm_phrknob, 0, 7, 1},  // Idx 137</v>
      </c>
    </row>
    <row r="140" spans="1:16" x14ac:dyDescent="0.25">
      <c r="A140" s="16">
        <f t="shared" si="19"/>
        <v>138</v>
      </c>
      <c r="B140" s="32" t="s">
        <v>129</v>
      </c>
      <c r="C140" s="13">
        <v>-1</v>
      </c>
      <c r="D140" s="13">
        <v>-1</v>
      </c>
      <c r="E140" s="13"/>
      <c r="F140" s="3">
        <v>0</v>
      </c>
      <c r="G140" s="18">
        <v>4</v>
      </c>
      <c r="H140" s="7">
        <v>1</v>
      </c>
      <c r="I140" s="7">
        <v>261</v>
      </c>
      <c r="J140" s="7" t="s">
        <v>158</v>
      </c>
      <c r="K140" s="7" t="s">
        <v>8</v>
      </c>
      <c r="L140" s="11" t="str">
        <f>CONCATENATE("""",B140,""", ")</f>
        <v xml:space="preserve">"Gating Mode", </v>
      </c>
      <c r="M140" s="11" t="str">
        <f>IF(K140="NULL",CONCATENATE(K140,", "),CONCATENATE("&amp;",K140,", "))</f>
        <v xml:space="preserve">NULL, </v>
      </c>
      <c r="N140" s="11" t="str">
        <f>IF(J140="NULL",CONCATENATE(J140,", "),CONCATENATE("tm_",J140,", "))</f>
        <v xml:space="preserve">tm_gating, </v>
      </c>
      <c r="O140" s="10" t="str">
        <f>CONCATENATE("  {",L140,C140,", ",D140,", ",I140,", ",M140,N140,F140,", ",G140,", ",H140,"},  // Idx ", A140)</f>
        <v xml:space="preserve">  {"Gating Mode", -1, -1, 261, NULL, tm_gating, 0, 4, 1},  // Idx 138</v>
      </c>
      <c r="P140" s="6"/>
    </row>
    <row r="141" spans="1:16" x14ac:dyDescent="0.25">
      <c r="A141" s="16">
        <f t="shared" si="19"/>
        <v>139</v>
      </c>
      <c r="B141" s="32" t="s">
        <v>130</v>
      </c>
      <c r="C141" s="13">
        <v>-1</v>
      </c>
      <c r="D141" s="13">
        <v>-1</v>
      </c>
      <c r="E141" s="13"/>
      <c r="F141" s="3">
        <v>0</v>
      </c>
      <c r="G141" s="18">
        <v>7</v>
      </c>
      <c r="H141" s="7">
        <v>0</v>
      </c>
      <c r="I141" s="7">
        <v>388</v>
      </c>
      <c r="J141" s="7" t="s">
        <v>150</v>
      </c>
      <c r="K141" s="7" t="s">
        <v>8</v>
      </c>
      <c r="L141" s="11" t="str">
        <f>CONCATENATE("""",B141,""", ")</f>
        <v xml:space="preserve">"TG WaveSet", </v>
      </c>
      <c r="M141" s="11" t="str">
        <f>IF(K141="NULL",CONCATENATE(K141,", "),CONCATENATE("&amp;",K141,", "))</f>
        <v xml:space="preserve">NULL, </v>
      </c>
      <c r="N141" s="11" t="str">
        <f>IF(J141="NULL",CONCATENATE(J141,", "),CONCATENATE("tm_",J141,", "))</f>
        <v xml:space="preserve">tm_waveset, </v>
      </c>
      <c r="O141" s="10" t="str">
        <f>CONCATENATE("  {",L141,C141,", ",D141,", ",I141,", ",M141,N141,F141,", ",G141,", ",H141,"},  // Idx ", A141)</f>
        <v xml:space="preserve">  {"TG WaveSet", -1, -1, 388, NULL, tm_waveset, 0, 7, 0},  // Idx 139</v>
      </c>
      <c r="P141" s="6"/>
    </row>
    <row r="142" spans="1:16" x14ac:dyDescent="0.25">
      <c r="A142" s="16">
        <f t="shared" si="19"/>
        <v>140</v>
      </c>
      <c r="B142" s="32" t="s">
        <v>131</v>
      </c>
      <c r="C142" s="13">
        <v>-1</v>
      </c>
      <c r="D142" s="13">
        <v>-1</v>
      </c>
      <c r="E142" s="13"/>
      <c r="F142" s="3">
        <v>0</v>
      </c>
      <c r="G142" s="18">
        <v>5</v>
      </c>
      <c r="H142" s="7">
        <v>0</v>
      </c>
      <c r="I142" s="7">
        <v>392</v>
      </c>
      <c r="J142" s="7" t="s">
        <v>151</v>
      </c>
      <c r="K142" s="7" t="s">
        <v>8</v>
      </c>
      <c r="L142" s="11" t="str">
        <f>CONCATENATE("""",B142,""", ")</f>
        <v xml:space="preserve">"TG Tapering", </v>
      </c>
      <c r="M142" s="11" t="str">
        <f>IF(K142="NULL",CONCATENATE(K142,", "),CONCATENATE("&amp;",K142,", "))</f>
        <v xml:space="preserve">NULL, </v>
      </c>
      <c r="N142" s="11" t="str">
        <f>IF(J142="NULL",CONCATENATE(J142,", "),CONCATENATE("tm_",J142,", "))</f>
        <v xml:space="preserve">tm_tapering, </v>
      </c>
      <c r="O142" s="10" t="str">
        <f>CONCATENATE("  {",L142,C142,", ",D142,", ",I142,", ",M142,N142,F142,", ",G142,", ",H142,"},  // Idx ", A142)</f>
        <v xml:space="preserve">  {"TG Tapering", -1, -1, 392, NULL, tm_tapering, 0, 5, 0},  // Idx 140</v>
      </c>
      <c r="P142" s="6"/>
    </row>
    <row r="143" spans="1:16" x14ac:dyDescent="0.25">
      <c r="A143" s="16">
        <f t="shared" si="19"/>
        <v>141</v>
      </c>
      <c r="B143" s="32" t="s">
        <v>132</v>
      </c>
      <c r="C143" s="13">
        <v>-1</v>
      </c>
      <c r="D143" s="13">
        <v>-1</v>
      </c>
      <c r="E143" s="13"/>
      <c r="F143" s="3">
        <v>0</v>
      </c>
      <c r="G143" s="18">
        <v>15</v>
      </c>
      <c r="H143" s="7">
        <v>0</v>
      </c>
      <c r="I143" s="7">
        <v>389</v>
      </c>
      <c r="J143" s="7" t="s">
        <v>146</v>
      </c>
      <c r="K143" s="7" t="s">
        <v>8</v>
      </c>
      <c r="L143" s="11" t="str">
        <f>CONCATENATE("""",B143,""", ")</f>
        <v xml:space="preserve">"TG Flutter", </v>
      </c>
      <c r="M143" s="11" t="str">
        <f>IF(K143="NULL",CONCATENATE(K143,", "),CONCATENATE("&amp;",K143,", "))</f>
        <v xml:space="preserve">NULL, </v>
      </c>
      <c r="N143" s="11" t="str">
        <f>IF(J143="NULL",CONCATENATE(J143,", "),CONCATENATE("tm_",J143,", "))</f>
        <v xml:space="preserve">tm_pot, </v>
      </c>
      <c r="O143" s="10" t="str">
        <f>CONCATENATE("  {",L143,C143,", ",D143,", ",I143,", ",M143,N143,F143,", ",G143,", ",H143,"},  // Idx ", A143)</f>
        <v xml:space="preserve">  {"TG Flutter", -1, -1, 389, NULL, tm_pot, 0, 15, 0},  // Idx 141</v>
      </c>
      <c r="P143" s="6"/>
    </row>
    <row r="144" spans="1:16" x14ac:dyDescent="0.25">
      <c r="A144" s="16">
        <f t="shared" si="19"/>
        <v>142</v>
      </c>
      <c r="B144" s="32" t="s">
        <v>133</v>
      </c>
      <c r="C144" s="13">
        <v>-1</v>
      </c>
      <c r="D144" s="13">
        <v>-1</v>
      </c>
      <c r="E144" s="13"/>
      <c r="F144" s="3">
        <v>0</v>
      </c>
      <c r="G144" s="18">
        <v>15</v>
      </c>
      <c r="H144" s="7">
        <v>0</v>
      </c>
      <c r="I144" s="7">
        <v>390</v>
      </c>
      <c r="J144" s="7" t="s">
        <v>146</v>
      </c>
      <c r="K144" s="7" t="s">
        <v>8</v>
      </c>
      <c r="L144" s="11" t="str">
        <f>CONCATENATE("""",B144,""", ")</f>
        <v xml:space="preserve">"TG Leakage", </v>
      </c>
      <c r="M144" s="11" t="str">
        <f>IF(K144="NULL",CONCATENATE(K144,", "),CONCATENATE("&amp;",K144,", "))</f>
        <v xml:space="preserve">NULL, </v>
      </c>
      <c r="N144" s="11" t="str">
        <f>IF(J144="NULL",CONCATENATE(J144,", "),CONCATENATE("tm_",J144,", "))</f>
        <v xml:space="preserve">tm_pot, </v>
      </c>
      <c r="O144" s="10" t="str">
        <f>CONCATENATE("  {",L144,C144,", ",D144,", ",I144,", ",M144,N144,F144,", ",G144,", ",H144,"},  // Idx ", A144)</f>
        <v xml:space="preserve">  {"TG Leakage", -1, -1, 390, NULL, tm_pot, 0, 15, 0},  // Idx 142</v>
      </c>
      <c r="P144" s="6"/>
    </row>
    <row r="145" spans="1:16" x14ac:dyDescent="0.25">
      <c r="A145" s="16">
        <f t="shared" si="19"/>
        <v>143</v>
      </c>
      <c r="B145" s="32" t="s">
        <v>153</v>
      </c>
      <c r="C145" s="13">
        <v>-1</v>
      </c>
      <c r="D145" s="13">
        <v>-1</v>
      </c>
      <c r="E145" s="13"/>
      <c r="F145" s="3">
        <v>0</v>
      </c>
      <c r="G145" s="18">
        <v>15</v>
      </c>
      <c r="H145" s="7">
        <v>0</v>
      </c>
      <c r="I145" s="7">
        <v>360</v>
      </c>
      <c r="J145" s="7" t="s">
        <v>146</v>
      </c>
      <c r="K145" s="7" t="s">
        <v>8</v>
      </c>
      <c r="L145" s="11" t="str">
        <f>CONCATENATE("""",B145,""", ")</f>
        <v xml:space="preserve">"Cont SpringFlx", </v>
      </c>
      <c r="M145" s="11" t="str">
        <f>IF(K145="NULL",CONCATENATE(K145,", "),CONCATENATE("&amp;",K145,", "))</f>
        <v xml:space="preserve">NULL, </v>
      </c>
      <c r="N145" s="11" t="str">
        <f>IF(J145="NULL",CONCATENATE(J145,", "),CONCATENATE("tm_",J145,", "))</f>
        <v xml:space="preserve">tm_pot, </v>
      </c>
      <c r="O145" s="10" t="str">
        <f>CONCATENATE("  {",L145,C145,", ",D145,", ",I145,", ",M145,N145,F145,", ",G145,", ",H145,"},  // Idx ", A145)</f>
        <v xml:space="preserve">  {"Cont SpringFlx", -1, -1, 360, NULL, tm_pot, 0, 15, 0},  // Idx 143</v>
      </c>
      <c r="P145" s="6"/>
    </row>
    <row r="146" spans="1:16" x14ac:dyDescent="0.25">
      <c r="A146" s="16">
        <f t="shared" si="19"/>
        <v>144</v>
      </c>
      <c r="B146" s="32" t="s">
        <v>154</v>
      </c>
      <c r="C146" s="13">
        <v>-1</v>
      </c>
      <c r="D146" s="13">
        <v>-1</v>
      </c>
      <c r="E146" s="13"/>
      <c r="F146" s="3">
        <v>0</v>
      </c>
      <c r="G146" s="18">
        <v>15</v>
      </c>
      <c r="H146" s="7">
        <v>0</v>
      </c>
      <c r="I146" s="7">
        <v>361</v>
      </c>
      <c r="J146" s="7" t="s">
        <v>146</v>
      </c>
      <c r="K146" s="7" t="s">
        <v>8</v>
      </c>
      <c r="L146" s="11" t="str">
        <f>CONCATENATE("""",B146,""", ")</f>
        <v xml:space="preserve">"Cont SpringDmp", </v>
      </c>
      <c r="M146" s="11" t="str">
        <f>IF(K146="NULL",CONCATENATE(K146,", "),CONCATENATE("&amp;",K146,", "))</f>
        <v xml:space="preserve">NULL, </v>
      </c>
      <c r="N146" s="11" t="str">
        <f>IF(J146="NULL",CONCATENATE(J146,", "),CONCATENATE("tm_",J146,", "))</f>
        <v xml:space="preserve">tm_pot, </v>
      </c>
      <c r="O146" s="10" t="str">
        <f>CONCATENATE("  {",L146,C146,", ",D146,", ",I146,", ",M146,N146,F146,", ",G146,", ",H146,"},  // Idx ", A146)</f>
        <v xml:space="preserve">  {"Cont SpringDmp", -1, -1, 361, NULL, tm_pot, 0, 15, 0},  // Idx 144</v>
      </c>
      <c r="P146" s="6"/>
    </row>
    <row r="147" spans="1:16" x14ac:dyDescent="0.25">
      <c r="A147" s="16">
        <f t="shared" si="19"/>
        <v>145</v>
      </c>
      <c r="B147" s="32" t="s">
        <v>62</v>
      </c>
      <c r="C147" s="13">
        <v>-1</v>
      </c>
      <c r="D147" s="13">
        <v>-1</v>
      </c>
      <c r="E147" s="13"/>
      <c r="F147" s="3">
        <v>0</v>
      </c>
      <c r="G147" s="18">
        <v>1</v>
      </c>
      <c r="H147" s="7">
        <v>0</v>
      </c>
      <c r="I147" s="7">
        <v>364</v>
      </c>
      <c r="J147" s="7" t="s">
        <v>28</v>
      </c>
      <c r="K147" s="7" t="s">
        <v>8</v>
      </c>
      <c r="L147" s="11" t="str">
        <f>CONCATENATE("""",B147,""", ")</f>
        <v xml:space="preserve">"Lubed Contacts", </v>
      </c>
      <c r="M147" s="11" t="str">
        <f>IF(K147="NULL",CONCATENATE(K147,", "),CONCATENATE("&amp;",K147,", "))</f>
        <v xml:space="preserve">NULL, </v>
      </c>
      <c r="N147" s="11" t="str">
        <f>IF(J147="NULL",CONCATENATE(J147,", "),CONCATENATE("tm_",J147,", "))</f>
        <v xml:space="preserve">tm_tab, </v>
      </c>
      <c r="O147" s="10" t="str">
        <f>CONCATENATE("  {",L147,C147,", ",D147,", ",I147,", ",M147,N147,F147,", ",G147,", ",H147,"},  // Idx ", A147)</f>
        <v xml:space="preserve">  {"Lubed Contacts", -1, -1, 364, NULL, tm_tab, 0, 1, 0},  // Idx 145</v>
      </c>
      <c r="P147" s="6"/>
    </row>
    <row r="148" spans="1:16" x14ac:dyDescent="0.25">
      <c r="A148" s="16">
        <f t="shared" si="19"/>
        <v>146</v>
      </c>
      <c r="B148" s="32" t="s">
        <v>134</v>
      </c>
      <c r="C148" s="13">
        <v>-1</v>
      </c>
      <c r="D148" s="13">
        <v>-1</v>
      </c>
      <c r="E148" s="13"/>
      <c r="F148" s="3">
        <v>0</v>
      </c>
      <c r="G148" s="18">
        <v>1</v>
      </c>
      <c r="H148" s="7">
        <v>0</v>
      </c>
      <c r="I148" s="7">
        <v>357</v>
      </c>
      <c r="J148" s="7" t="s">
        <v>28</v>
      </c>
      <c r="K148" s="7" t="s">
        <v>8</v>
      </c>
      <c r="L148" s="11" t="str">
        <f>CONCATENATE("""",B148,""", ")</f>
        <v xml:space="preserve">"No DB1 @Perc", </v>
      </c>
      <c r="M148" s="11" t="str">
        <f>IF(K148="NULL",CONCATENATE(K148,", "),CONCATENATE("&amp;",K148,", "))</f>
        <v xml:space="preserve">NULL, </v>
      </c>
      <c r="N148" s="11" t="str">
        <f>IF(J148="NULL",CONCATENATE(J148,", "),CONCATENATE("tm_",J148,", "))</f>
        <v xml:space="preserve">tm_tab, </v>
      </c>
      <c r="O148" s="10" t="str">
        <f>CONCATENATE("  {",L148,C148,", ",D148,", ",I148,", ",M148,N148,F148,", ",G148,", ",H148,"},  // Idx ", A148)</f>
        <v xml:space="preserve">  {"No DB1 @Perc", -1, -1, 357, NULL, tm_tab, 0, 1, 0},  // Idx 146</v>
      </c>
      <c r="P148" s="6"/>
    </row>
    <row r="149" spans="1:16" x14ac:dyDescent="0.25">
      <c r="A149" s="16">
        <f t="shared" si="19"/>
        <v>147</v>
      </c>
      <c r="B149" s="32" t="s">
        <v>161</v>
      </c>
      <c r="C149" s="13">
        <v>-1</v>
      </c>
      <c r="D149" s="13">
        <v>-1</v>
      </c>
      <c r="E149" s="13"/>
      <c r="F149" s="3">
        <v>0</v>
      </c>
      <c r="G149" s="18">
        <v>127</v>
      </c>
      <c r="H149" s="7">
        <v>0</v>
      </c>
      <c r="I149" s="7">
        <v>480</v>
      </c>
      <c r="J149" s="7" t="s">
        <v>146</v>
      </c>
      <c r="K149" s="7" t="s">
        <v>8</v>
      </c>
      <c r="L149" s="11" t="str">
        <f>CONCATENATE("""",B149,""", ")</f>
        <v xml:space="preserve">"Perc Norm Level", </v>
      </c>
      <c r="M149" s="11" t="str">
        <f>IF(K149="NULL",CONCATENATE(K149,", "),CONCATENATE("&amp;",K149,", "))</f>
        <v xml:space="preserve">NULL, </v>
      </c>
      <c r="N149" s="11" t="str">
        <f>IF(J149="NULL",CONCATENATE(J149,", "),CONCATENATE("tm_",J149,", "))</f>
        <v xml:space="preserve">tm_pot, </v>
      </c>
      <c r="O149" s="10" t="str">
        <f>CONCATENATE("  {",L149,C149,", ",D149,", ",I149,", ",M149,N149,F149,", ",G149,", ",H149,"},  // Idx ", A149)</f>
        <v xml:space="preserve">  {"Perc Norm Level", -1, -1, 480, NULL, tm_pot, 0, 127, 0},  // Idx 147</v>
      </c>
      <c r="P149" s="6"/>
    </row>
    <row r="150" spans="1:16" x14ac:dyDescent="0.25">
      <c r="A150" s="16">
        <f t="shared" si="19"/>
        <v>148</v>
      </c>
      <c r="B150" s="32" t="s">
        <v>162</v>
      </c>
      <c r="C150" s="13">
        <v>-1</v>
      </c>
      <c r="D150" s="13">
        <v>-1</v>
      </c>
      <c r="E150" s="13"/>
      <c r="F150" s="3">
        <v>0</v>
      </c>
      <c r="G150" s="18">
        <v>127</v>
      </c>
      <c r="H150" s="7">
        <v>0</v>
      </c>
      <c r="I150" s="7">
        <v>481</v>
      </c>
      <c r="J150" s="7" t="s">
        <v>146</v>
      </c>
      <c r="K150" s="7" t="s">
        <v>8</v>
      </c>
      <c r="L150" s="11" t="str">
        <f>CONCATENATE("""",B150,""", ")</f>
        <v xml:space="preserve">"Perc Soft Level", </v>
      </c>
      <c r="M150" s="11" t="str">
        <f>IF(K150="NULL",CONCATENATE(K150,", "),CONCATENATE("&amp;",K150,", "))</f>
        <v xml:space="preserve">NULL, </v>
      </c>
      <c r="N150" s="11" t="str">
        <f>IF(J150="NULL",CONCATENATE(J150,", "),CONCATENATE("tm_",J150,", "))</f>
        <v xml:space="preserve">tm_pot, </v>
      </c>
      <c r="O150" s="10" t="str">
        <f>CONCATENATE("  {",L150,C150,", ",D150,", ",I150,", ",M150,N150,F150,", ",G150,", ",H150,"},  // Idx ", A150)</f>
        <v xml:space="preserve">  {"Perc Soft Level", -1, -1, 481, NULL, tm_pot, 0, 127, 0},  // Idx 148</v>
      </c>
      <c r="P150" s="6"/>
    </row>
    <row r="151" spans="1:16" x14ac:dyDescent="0.25">
      <c r="A151" s="16">
        <f t="shared" si="19"/>
        <v>149</v>
      </c>
      <c r="B151" s="32" t="s">
        <v>135</v>
      </c>
      <c r="C151" s="13">
        <v>-1</v>
      </c>
      <c r="D151" s="13">
        <v>-1</v>
      </c>
      <c r="E151" s="13"/>
      <c r="F151" s="3">
        <v>0</v>
      </c>
      <c r="G151" s="18">
        <v>127</v>
      </c>
      <c r="H151" s="7">
        <v>0</v>
      </c>
      <c r="I151" s="7">
        <v>482</v>
      </c>
      <c r="J151" s="7" t="s">
        <v>146</v>
      </c>
      <c r="K151" s="7" t="s">
        <v>8</v>
      </c>
      <c r="L151" s="11" t="str">
        <f>CONCATENATE("""",B151,""", ")</f>
        <v xml:space="preserve">"Perc Long Time", </v>
      </c>
      <c r="M151" s="11" t="str">
        <f>IF(K151="NULL",CONCATENATE(K151,", "),CONCATENATE("&amp;",K151,", "))</f>
        <v xml:space="preserve">NULL, </v>
      </c>
      <c r="N151" s="11" t="str">
        <f>IF(J151="NULL",CONCATENATE(J151,", "),CONCATENATE("tm_",J151,", "))</f>
        <v xml:space="preserve">tm_pot, </v>
      </c>
      <c r="O151" s="10" t="str">
        <f>CONCATENATE("  {",L151,C151,", ",D151,", ",I151,", ",M151,N151,F151,", ",G151,", ",H151,"},  // Idx ", A151)</f>
        <v xml:space="preserve">  {"Perc Long Time", -1, -1, 482, NULL, tm_pot, 0, 127, 0},  // Idx 149</v>
      </c>
      <c r="P151" s="6"/>
    </row>
    <row r="152" spans="1:16" x14ac:dyDescent="0.25">
      <c r="A152" s="16">
        <f t="shared" si="19"/>
        <v>150</v>
      </c>
      <c r="B152" s="32" t="s">
        <v>136</v>
      </c>
      <c r="C152" s="13">
        <v>-1</v>
      </c>
      <c r="D152" s="13">
        <v>-1</v>
      </c>
      <c r="E152" s="13"/>
      <c r="F152" s="3">
        <v>0</v>
      </c>
      <c r="G152" s="18">
        <v>127</v>
      </c>
      <c r="H152" s="7">
        <v>0</v>
      </c>
      <c r="I152" s="7">
        <v>483</v>
      </c>
      <c r="J152" s="7" t="s">
        <v>146</v>
      </c>
      <c r="K152" s="7" t="s">
        <v>8</v>
      </c>
      <c r="L152" s="11" t="str">
        <f>CONCATENATE("""",B152,""", ")</f>
        <v xml:space="preserve">"Perc Short Time", </v>
      </c>
      <c r="M152" s="11" t="str">
        <f>IF(K152="NULL",CONCATENATE(K152,", "),CONCATENATE("&amp;",K152,", "))</f>
        <v xml:space="preserve">NULL, </v>
      </c>
      <c r="N152" s="11" t="str">
        <f>IF(J152="NULL",CONCATENATE(J152,", "),CONCATENATE("tm_",J152,", "))</f>
        <v xml:space="preserve">tm_pot, </v>
      </c>
      <c r="O152" s="10" t="str">
        <f>CONCATENATE("  {",L152,C152,", ",D152,", ",I152,", ",M152,N152,F152,", ",G152,", ",H152,"},  // Idx ", A152)</f>
        <v xml:space="preserve">  {"Perc Short Time", -1, -1, 483, NULL, tm_pot, 0, 127, 0},  // Idx 150</v>
      </c>
      <c r="P152" s="6"/>
    </row>
    <row r="153" spans="1:16" x14ac:dyDescent="0.25">
      <c r="A153" s="16">
        <f t="shared" si="19"/>
        <v>151</v>
      </c>
      <c r="B153" s="32" t="s">
        <v>63</v>
      </c>
      <c r="C153" s="13">
        <v>-1</v>
      </c>
      <c r="D153" s="13">
        <v>-1</v>
      </c>
      <c r="E153" s="13"/>
      <c r="F153" s="3">
        <v>0</v>
      </c>
      <c r="G153" s="18">
        <v>127</v>
      </c>
      <c r="H153" s="7">
        <v>0</v>
      </c>
      <c r="I153" s="7">
        <v>484</v>
      </c>
      <c r="J153" s="7" t="s">
        <v>146</v>
      </c>
      <c r="K153" s="7" t="s">
        <v>8</v>
      </c>
      <c r="L153" s="11" t="str">
        <f>CONCATENATE("""",B153,""", ")</f>
        <v xml:space="preserve">"Perc Muted Lvl", </v>
      </c>
      <c r="M153" s="11" t="str">
        <f>IF(K153="NULL",CONCATENATE(K153,", "),CONCATENATE("&amp;",K153,", "))</f>
        <v xml:space="preserve">NULL, </v>
      </c>
      <c r="N153" s="11" t="str">
        <f>IF(J153="NULL",CONCATENATE(J153,", "),CONCATENATE("tm_",J153,", "))</f>
        <v xml:space="preserve">tm_pot, </v>
      </c>
      <c r="O153" s="10" t="str">
        <f>CONCATENATE("  {",L153,C153,", ",D153,", ",I153,", ",M153,N153,F153,", ",G153,", ",H153,"},  // Idx ", A153)</f>
        <v xml:space="preserve">  {"Perc Muted Lvl", -1, -1, 484, NULL, tm_pot, 0, 127, 0},  // Idx 151</v>
      </c>
      <c r="P153" s="6"/>
    </row>
    <row r="154" spans="1:16" x14ac:dyDescent="0.25">
      <c r="A154" s="16">
        <f t="shared" si="19"/>
        <v>152</v>
      </c>
      <c r="B154" s="32" t="s">
        <v>54</v>
      </c>
      <c r="C154" s="13">
        <v>-1</v>
      </c>
      <c r="D154" s="13">
        <v>-1</v>
      </c>
      <c r="E154" s="13"/>
      <c r="F154" s="3">
        <v>0</v>
      </c>
      <c r="G154" s="7">
        <v>127</v>
      </c>
      <c r="H154" s="7">
        <v>0</v>
      </c>
      <c r="I154" s="7">
        <v>87</v>
      </c>
      <c r="J154" s="7" t="s">
        <v>146</v>
      </c>
      <c r="K154" s="7" t="s">
        <v>8</v>
      </c>
      <c r="L154" s="11" t="str">
        <f>CONCATENATE("""",B154,""", ")</f>
        <v xml:space="preserve">"AO28 Tone Pot", </v>
      </c>
      <c r="M154" s="11" t="str">
        <f>IF(K154="NULL",CONCATENATE(K154,", "),CONCATENATE("&amp;",K154,", "))</f>
        <v xml:space="preserve">NULL, </v>
      </c>
      <c r="N154" s="11" t="str">
        <f>IF(J154="NULL",CONCATENATE(J154,", "),CONCATENATE("tm_",J154,", "))</f>
        <v xml:space="preserve">tm_pot, </v>
      </c>
      <c r="O154" s="10" t="str">
        <f>CONCATENATE("  {",L154,C154,", ",D154,", ",I154,", ",M154,N154,F154,", ",G154,", ",H154,"},  // Idx ", A154)</f>
        <v xml:space="preserve">  {"AO28 Tone Pot", -1, -1, 87, NULL, tm_pot, 0, 127, 0},  // Idx 152</v>
      </c>
      <c r="P154" s="6"/>
    </row>
    <row r="155" spans="1:16" x14ac:dyDescent="0.25">
      <c r="A155" s="16">
        <f t="shared" si="19"/>
        <v>153</v>
      </c>
      <c r="B155" s="32" t="s">
        <v>55</v>
      </c>
      <c r="C155" s="13">
        <v>-1</v>
      </c>
      <c r="D155" s="13">
        <v>-1</v>
      </c>
      <c r="E155" s="13"/>
      <c r="F155" s="3">
        <v>0</v>
      </c>
      <c r="G155" s="7">
        <v>127</v>
      </c>
      <c r="H155" s="7">
        <v>0</v>
      </c>
      <c r="I155" s="7">
        <v>88</v>
      </c>
      <c r="J155" s="7" t="s">
        <v>146</v>
      </c>
      <c r="K155" s="7" t="s">
        <v>8</v>
      </c>
      <c r="L155" s="11" t="str">
        <f>CONCATENATE("""",B155,""", ")</f>
        <v xml:space="preserve">"AO28 Gain Cap", </v>
      </c>
      <c r="M155" s="11" t="str">
        <f>IF(K155="NULL",CONCATENATE(K155,", "),CONCATENATE("&amp;",K155,", "))</f>
        <v xml:space="preserve">NULL, </v>
      </c>
      <c r="N155" s="11" t="str">
        <f>IF(J155="NULL",CONCATENATE(J155,", "),CONCATENATE("tm_",J155,", "))</f>
        <v xml:space="preserve">tm_pot, </v>
      </c>
      <c r="O155" s="10" t="str">
        <f>CONCATENATE("  {",L155,C155,", ",D155,", ",I155,", ",M155,N155,F155,", ",G155,", ",H155,"},  // Idx ", A155)</f>
        <v xml:space="preserve">  {"AO28 Gain Cap", -1, -1, 88, NULL, tm_pot, 0, 127, 0},  // Idx 153</v>
      </c>
      <c r="P155" s="6"/>
    </row>
    <row r="156" spans="1:16" x14ac:dyDescent="0.25">
      <c r="A156" s="16">
        <f t="shared" si="19"/>
        <v>154</v>
      </c>
      <c r="B156" s="32" t="s">
        <v>56</v>
      </c>
      <c r="C156" s="13">
        <v>-1</v>
      </c>
      <c r="D156" s="13">
        <v>-1</v>
      </c>
      <c r="E156" s="13"/>
      <c r="F156" s="3">
        <v>0</v>
      </c>
      <c r="G156" s="7">
        <v>127</v>
      </c>
      <c r="H156" s="7">
        <v>0</v>
      </c>
      <c r="I156" s="7">
        <v>89</v>
      </c>
      <c r="J156" s="7" t="s">
        <v>146</v>
      </c>
      <c r="K156" s="7" t="s">
        <v>8</v>
      </c>
      <c r="L156" s="11" t="str">
        <f>CONCATENATE("""",B156,""", ")</f>
        <v xml:space="preserve">"AO28 MinSwell", </v>
      </c>
      <c r="M156" s="11" t="str">
        <f>IF(K156="NULL",CONCATENATE(K156,", "),CONCATENATE("&amp;",K156,", "))</f>
        <v xml:space="preserve">NULL, </v>
      </c>
      <c r="N156" s="11" t="str">
        <f>IF(J156="NULL",CONCATENATE(J156,", "),CONCATENATE("tm_",J156,", "))</f>
        <v xml:space="preserve">tm_pot, </v>
      </c>
      <c r="O156" s="10" t="str">
        <f>CONCATENATE("  {",L156,C156,", ",D156,", ",I156,", ",M156,N156,F156,", ",G156,", ",H156,"},  // Idx ", A156)</f>
        <v xml:space="preserve">  {"AO28 MinSwell", -1, -1, 89, NULL, tm_pot, 0, 127, 0},  // Idx 154</v>
      </c>
      <c r="P156" s="6"/>
    </row>
    <row r="157" spans="1:16" x14ac:dyDescent="0.25">
      <c r="A157" s="16">
        <f t="shared" si="19"/>
        <v>155</v>
      </c>
      <c r="B157" s="32" t="s">
        <v>57</v>
      </c>
      <c r="C157" s="13">
        <v>-1</v>
      </c>
      <c r="D157" s="13">
        <v>-1</v>
      </c>
      <c r="E157" s="13"/>
      <c r="F157" s="3">
        <v>0</v>
      </c>
      <c r="G157" s="7">
        <v>127</v>
      </c>
      <c r="H157" s="7">
        <v>0</v>
      </c>
      <c r="I157" s="7">
        <v>90</v>
      </c>
      <c r="J157" s="7" t="s">
        <v>146</v>
      </c>
      <c r="K157" s="7" t="s">
        <v>8</v>
      </c>
      <c r="L157" s="11" t="str">
        <f>CONCATENATE("""",B157,""", ")</f>
        <v xml:space="preserve">"AO28 Tube Age", </v>
      </c>
      <c r="M157" s="11" t="str">
        <f>IF(K157="NULL",CONCATENATE(K157,", "),CONCATENATE("&amp;",K157,", "))</f>
        <v xml:space="preserve">NULL, </v>
      </c>
      <c r="N157" s="11" t="str">
        <f>IF(J157="NULL",CONCATENATE(J157,", "),CONCATENATE("tm_",J157,", "))</f>
        <v xml:space="preserve">tm_pot, </v>
      </c>
      <c r="O157" s="10" t="str">
        <f>CONCATENATE("  {",L157,C157,", ",D157,", ",I157,", ",M157,N157,F157,", ",G157,", ",H157,"},  // Idx ", A157)</f>
        <v xml:space="preserve">  {"AO28 Tube Age", -1, -1, 90, NULL, tm_pot, 0, 127, 0},  // Idx 155</v>
      </c>
      <c r="P157" s="6"/>
    </row>
    <row r="158" spans="1:16" x14ac:dyDescent="0.25">
      <c r="A158" s="16">
        <f t="shared" si="19"/>
        <v>156</v>
      </c>
      <c r="B158" s="32" t="s">
        <v>192</v>
      </c>
      <c r="C158" s="13">
        <v>-1</v>
      </c>
      <c r="D158" s="13">
        <v>-1</v>
      </c>
      <c r="E158" s="13"/>
      <c r="F158" s="3">
        <v>0</v>
      </c>
      <c r="G158" s="7">
        <v>127</v>
      </c>
      <c r="H158" s="7">
        <v>0</v>
      </c>
      <c r="I158" s="7">
        <v>82</v>
      </c>
      <c r="J158" s="7" t="s">
        <v>146</v>
      </c>
      <c r="K158" s="7" t="s">
        <v>8</v>
      </c>
      <c r="L158" s="11" t="str">
        <f>CONCATENATE("""",B158,""", ")</f>
        <v xml:space="preserve">"Upper Level", </v>
      </c>
      <c r="M158" s="11" t="str">
        <f>IF(K158="NULL",CONCATENATE(K158,", "),CONCATENATE("&amp;",K158,", "))</f>
        <v xml:space="preserve">NULL, </v>
      </c>
      <c r="N158" s="11" t="str">
        <f>IF(J158="NULL",CONCATENATE(J158,", "),CONCATENATE("tm_",J158,", "))</f>
        <v xml:space="preserve">tm_pot, </v>
      </c>
      <c r="O158" s="10" t="str">
        <f>CONCATENATE("  {",L158,C158,", ",D158,", ",I158,", ",M158,N158,F158,", ",G158,", ",H158,"},  // Idx ", A158)</f>
        <v xml:space="preserve">  {"Upper Level", -1, -1, 82, NULL, tm_pot, 0, 127, 0},  // Idx 156</v>
      </c>
      <c r="P158" s="6"/>
    </row>
    <row r="159" spans="1:16" x14ac:dyDescent="0.25">
      <c r="A159" s="16">
        <f t="shared" si="19"/>
        <v>157</v>
      </c>
      <c r="B159" s="32" t="s">
        <v>193</v>
      </c>
      <c r="C159" s="13">
        <v>-1</v>
      </c>
      <c r="D159" s="13">
        <v>-1</v>
      </c>
      <c r="E159" s="13"/>
      <c r="F159" s="3">
        <v>0</v>
      </c>
      <c r="G159" s="7">
        <v>127</v>
      </c>
      <c r="H159" s="7">
        <v>0</v>
      </c>
      <c r="I159" s="7">
        <v>83</v>
      </c>
      <c r="J159" s="7" t="s">
        <v>146</v>
      </c>
      <c r="K159" s="7" t="s">
        <v>8</v>
      </c>
      <c r="L159" s="11" t="str">
        <f>CONCATENATE("""",B159,""", ")</f>
        <v xml:space="preserve">"Lower Level", </v>
      </c>
      <c r="M159" s="11" t="str">
        <f>IF(K159="NULL",CONCATENATE(K159,", "),CONCATENATE("&amp;",K159,", "))</f>
        <v xml:space="preserve">NULL, </v>
      </c>
      <c r="N159" s="11" t="str">
        <f>IF(J159="NULL",CONCATENATE(J159,", "),CONCATENATE("tm_",J159,", "))</f>
        <v xml:space="preserve">tm_pot, </v>
      </c>
      <c r="O159" s="10" t="str">
        <f>CONCATENATE("  {",L159,C159,", ",D159,", ",I159,", ",M159,N159,F159,", ",G159,", ",H159,"},  // Idx ", A159)</f>
        <v xml:space="preserve">  {"Lower Level", -1, -1, 83, NULL, tm_pot, 0, 127, 0},  // Idx 157</v>
      </c>
      <c r="P159" s="6"/>
    </row>
    <row r="160" spans="1:16" x14ac:dyDescent="0.25">
      <c r="A160" s="16">
        <f t="shared" si="19"/>
        <v>158</v>
      </c>
      <c r="B160" s="32" t="s">
        <v>194</v>
      </c>
      <c r="C160" s="13">
        <v>-1</v>
      </c>
      <c r="D160" s="13">
        <v>-1</v>
      </c>
      <c r="E160" s="13"/>
      <c r="F160" s="3">
        <v>0</v>
      </c>
      <c r="G160" s="7">
        <v>127</v>
      </c>
      <c r="H160" s="7">
        <v>0</v>
      </c>
      <c r="I160" s="7">
        <v>84</v>
      </c>
      <c r="J160" s="7" t="s">
        <v>146</v>
      </c>
      <c r="K160" s="7" t="s">
        <v>8</v>
      </c>
      <c r="L160" s="11" t="str">
        <f>CONCATENATE("""",B160,""", ")</f>
        <v xml:space="preserve">"Pedal Level", </v>
      </c>
      <c r="M160" s="11" t="str">
        <f>IF(K160="NULL",CONCATENATE(K160,", "),CONCATENATE("&amp;",K160,", "))</f>
        <v xml:space="preserve">NULL, </v>
      </c>
      <c r="N160" s="11" t="str">
        <f>IF(J160="NULL",CONCATENATE(J160,", "),CONCATENATE("tm_",J160,", "))</f>
        <v xml:space="preserve">tm_pot, </v>
      </c>
      <c r="O160" s="10" t="str">
        <f>CONCATENATE("  {",L160,C160,", ",D160,", ",I160,", ",M160,N160,F160,", ",G160,", ",H160,"},  // Idx ", A160)</f>
        <v xml:space="preserve">  {"Pedal Level", -1, -1, 84, NULL, tm_pot, 0, 127, 0},  // Idx 158</v>
      </c>
      <c r="P160" s="6"/>
    </row>
    <row r="161" spans="1:16" x14ac:dyDescent="0.25">
      <c r="A161" s="16">
        <f t="shared" si="19"/>
        <v>159</v>
      </c>
      <c r="B161" s="32" t="s">
        <v>195</v>
      </c>
      <c r="C161" s="13">
        <v>-1</v>
      </c>
      <c r="D161" s="13">
        <v>-1</v>
      </c>
      <c r="E161" s="13"/>
      <c r="F161" s="3">
        <v>0</v>
      </c>
      <c r="G161" s="7">
        <v>127</v>
      </c>
      <c r="H161" s="7">
        <v>0</v>
      </c>
      <c r="I161" s="7">
        <v>85</v>
      </c>
      <c r="J161" s="7" t="s">
        <v>146</v>
      </c>
      <c r="K161" s="7" t="s">
        <v>8</v>
      </c>
      <c r="L161" s="11" t="str">
        <f>CONCATENATE("""",B161,""", ")</f>
        <v xml:space="preserve">"Perc Level", </v>
      </c>
      <c r="M161" s="11" t="str">
        <f>IF(K161="NULL",CONCATENATE(K161,", "),CONCATENATE("&amp;",K161,", "))</f>
        <v xml:space="preserve">NULL, </v>
      </c>
      <c r="N161" s="11" t="str">
        <f>IF(J161="NULL",CONCATENATE(J161,", "),CONCATENATE("tm_",J161,", "))</f>
        <v xml:space="preserve">tm_pot, </v>
      </c>
      <c r="O161" s="10" t="str">
        <f>CONCATENATE("  {",L161,C161,", ",D161,", ",I161,", ",M161,N161,F161,", ",G161,", ",H161,"},  // Idx ", A161)</f>
        <v xml:space="preserve">  {"Perc Level", -1, -1, 85, NULL, tm_pot, 0, 127, 0},  // Idx 159</v>
      </c>
      <c r="P161" s="6"/>
    </row>
    <row r="162" spans="1:16" x14ac:dyDescent="0.25">
      <c r="A162" s="16">
        <f t="shared" si="19"/>
        <v>160</v>
      </c>
      <c r="B162" s="36" t="s">
        <v>163</v>
      </c>
      <c r="C162" s="13">
        <v>-1</v>
      </c>
      <c r="D162" s="13">
        <v>-1</v>
      </c>
      <c r="E162" s="13"/>
      <c r="F162" s="3">
        <v>0</v>
      </c>
      <c r="G162" s="3">
        <v>127</v>
      </c>
      <c r="H162" s="7">
        <v>0</v>
      </c>
      <c r="I162" s="7">
        <v>400</v>
      </c>
      <c r="J162" s="7" t="s">
        <v>146</v>
      </c>
      <c r="K162" s="7" t="s">
        <v>8</v>
      </c>
      <c r="L162" s="11" t="str">
        <f>CONCATENATE("""",B162,""", ")</f>
        <v xml:space="preserve">"Reverb 1 Level ", </v>
      </c>
      <c r="M162" s="11" t="str">
        <f>IF(K162="NULL",CONCATENATE(K162,", "),CONCATENATE("&amp;",K162,", "))</f>
        <v xml:space="preserve">NULL, </v>
      </c>
      <c r="N162" s="11" t="str">
        <f>IF(J162="NULL",CONCATENATE(J162,", "),CONCATENATE("tm_",J162,", "))</f>
        <v xml:space="preserve">tm_pot, </v>
      </c>
      <c r="O162" s="10" t="str">
        <f>CONCATENATE("  {",L162,C162,", ",D162,", ",I162,", ",M162,N162,F162,", ",G162,", ",H162,"},  // Idx ", A162)</f>
        <v xml:space="preserve">  {"Reverb 1 Level ", -1, -1, 400, NULL, tm_pot, 0, 127, 0},  // Idx 160</v>
      </c>
      <c r="P162" s="6"/>
    </row>
    <row r="163" spans="1:16" x14ac:dyDescent="0.25">
      <c r="A163" s="16">
        <f t="shared" si="19"/>
        <v>161</v>
      </c>
      <c r="B163" s="36" t="s">
        <v>164</v>
      </c>
      <c r="C163" s="13">
        <v>-1</v>
      </c>
      <c r="D163" s="13">
        <v>-1</v>
      </c>
      <c r="E163" s="13"/>
      <c r="F163" s="3">
        <v>0</v>
      </c>
      <c r="G163" s="3">
        <v>127</v>
      </c>
      <c r="H163" s="7">
        <v>0</v>
      </c>
      <c r="I163" s="7">
        <v>401</v>
      </c>
      <c r="J163" s="7" t="s">
        <v>146</v>
      </c>
      <c r="K163" s="7" t="s">
        <v>8</v>
      </c>
      <c r="L163" s="11" t="str">
        <f>CONCATENATE("""",B163,""", ")</f>
        <v xml:space="preserve">"Reverb 2 Level ", </v>
      </c>
      <c r="M163" s="11" t="str">
        <f>IF(K163="NULL",CONCATENATE(K163,", "),CONCATENATE("&amp;",K163,", "))</f>
        <v xml:space="preserve">NULL, </v>
      </c>
      <c r="N163" s="11" t="str">
        <f>IF(J163="NULL",CONCATENATE(J163,", "),CONCATENATE("tm_",J163,", "))</f>
        <v xml:space="preserve">tm_pot, </v>
      </c>
      <c r="O163" s="10" t="str">
        <f>CONCATENATE("  {",L163,C163,", ",D163,", ",I163,", ",M163,N163,F163,", ",G163,", ",H163,"},  // Idx ", A163)</f>
        <v xml:space="preserve">  {"Reverb 2 Level ", -1, -1, 401, NULL, tm_pot, 0, 127, 0},  // Idx 161</v>
      </c>
      <c r="P163" s="6"/>
    </row>
    <row r="164" spans="1:16" x14ac:dyDescent="0.25">
      <c r="A164" s="16">
        <f t="shared" si="19"/>
        <v>162</v>
      </c>
      <c r="B164" s="36" t="s">
        <v>165</v>
      </c>
      <c r="C164" s="13">
        <v>-1</v>
      </c>
      <c r="D164" s="13">
        <v>-1</v>
      </c>
      <c r="E164" s="13"/>
      <c r="F164" s="3">
        <v>0</v>
      </c>
      <c r="G164" s="3">
        <v>127</v>
      </c>
      <c r="H164" s="7">
        <v>0</v>
      </c>
      <c r="I164" s="7">
        <v>402</v>
      </c>
      <c r="J164" s="7" t="s">
        <v>146</v>
      </c>
      <c r="K164" s="7" t="s">
        <v>8</v>
      </c>
      <c r="L164" s="11" t="str">
        <f>CONCATENATE("""",B164,""", ")</f>
        <v xml:space="preserve">"Reverb 3 Level ", </v>
      </c>
      <c r="M164" s="11" t="str">
        <f>IF(K164="NULL",CONCATENATE(K164,", "),CONCATENATE("&amp;",K164,", "))</f>
        <v xml:space="preserve">NULL, </v>
      </c>
      <c r="N164" s="11" t="str">
        <f>IF(J164="NULL",CONCATENATE(J164,", "),CONCATENATE("tm_",J164,", "))</f>
        <v xml:space="preserve">tm_pot, </v>
      </c>
      <c r="O164" s="10" t="str">
        <f>CONCATENATE("  {",L164,C164,", ",D164,", ",I164,", ",M164,N164,F164,", ",G164,", ",H164,"},  // Idx ", A164)</f>
        <v xml:space="preserve">  {"Reverb 3 Level ", -1, -1, 402, NULL, tm_pot, 0, 127, 0},  // Idx 162</v>
      </c>
      <c r="P164" s="6"/>
    </row>
    <row r="165" spans="1:16" x14ac:dyDescent="0.25">
      <c r="A165" s="16">
        <f t="shared" si="19"/>
        <v>163</v>
      </c>
      <c r="B165" s="33" t="s">
        <v>137</v>
      </c>
      <c r="C165" s="13">
        <v>-1</v>
      </c>
      <c r="D165" s="13">
        <v>-1</v>
      </c>
      <c r="E165" s="13"/>
      <c r="F165" s="3">
        <v>0</v>
      </c>
      <c r="G165" s="3">
        <v>1</v>
      </c>
      <c r="H165" s="7">
        <v>0</v>
      </c>
      <c r="I165" s="3">
        <v>159</v>
      </c>
      <c r="J165" s="7" t="s">
        <v>28</v>
      </c>
      <c r="K165" s="7" t="s">
        <v>8</v>
      </c>
      <c r="L165" s="11" t="str">
        <f>CONCATENATE("""",B165,""", ")</f>
        <v xml:space="preserve">"Bypass", </v>
      </c>
      <c r="M165" s="11" t="str">
        <f>IF(K165="NULL",CONCATENATE(K165,", "),CONCATENATE("&amp;",K165,", "))</f>
        <v xml:space="preserve">NULL, </v>
      </c>
      <c r="N165" s="11" t="str">
        <f>IF(J165="NULL",CONCATENATE(J165,", "),CONCATENATE("tm_",J165,", "))</f>
        <v xml:space="preserve">tm_tab, </v>
      </c>
      <c r="O165" s="10" t="str">
        <f>CONCATENATE("  {",L165,C165,", ",D165,", ",I165,", ",M165,N165,F165,", ",G165,", ",H165,"},  // Idx ", A165)</f>
        <v xml:space="preserve">  {"Bypass", -1, -1, 159, NULL, tm_tab, 0, 1, 0},  // Idx 163</v>
      </c>
      <c r="P165" s="6"/>
    </row>
    <row r="166" spans="1:16" x14ac:dyDescent="0.25">
      <c r="A166" s="16">
        <f t="shared" si="19"/>
        <v>164</v>
      </c>
      <c r="B166" s="33" t="s">
        <v>138</v>
      </c>
      <c r="C166" s="13">
        <v>-1</v>
      </c>
      <c r="D166" s="13">
        <v>-1</v>
      </c>
      <c r="E166" s="13"/>
      <c r="F166" s="3">
        <v>0</v>
      </c>
      <c r="G166" s="3">
        <v>127</v>
      </c>
      <c r="H166" s="7">
        <v>0</v>
      </c>
      <c r="I166" s="3">
        <v>112</v>
      </c>
      <c r="J166" s="7" t="s">
        <v>146</v>
      </c>
      <c r="K166" s="7" t="s">
        <v>8</v>
      </c>
      <c r="L166" s="11" t="str">
        <f>CONCATENATE("""",B166,""", ")</f>
        <v xml:space="preserve">"Bass Level", </v>
      </c>
      <c r="M166" s="11" t="str">
        <f>IF(K166="NULL",CONCATENATE(K166,", "),CONCATENATE("&amp;",K166,", "))</f>
        <v xml:space="preserve">NULL, </v>
      </c>
      <c r="N166" s="11" t="str">
        <f>IF(J166="NULL",CONCATENATE(J166,", "),CONCATENATE("tm_",J166,", "))</f>
        <v xml:space="preserve">tm_pot, </v>
      </c>
      <c r="O166" s="10" t="str">
        <f>CONCATENATE("  {",L166,C166,", ",D166,", ",I166,", ",M166,N166,F166,", ",G166,", ",H166,"},  // Idx ", A166)</f>
        <v xml:space="preserve">  {"Bass Level", -1, -1, 112, NULL, tm_pot, 0, 127, 0},  // Idx 164</v>
      </c>
      <c r="P166" s="6"/>
    </row>
    <row r="167" spans="1:16" x14ac:dyDescent="0.25">
      <c r="A167" s="16">
        <f t="shared" si="19"/>
        <v>165</v>
      </c>
      <c r="B167" s="33" t="s">
        <v>139</v>
      </c>
      <c r="C167" s="13">
        <v>-1</v>
      </c>
      <c r="D167" s="13">
        <v>-1</v>
      </c>
      <c r="E167" s="13"/>
      <c r="F167" s="3">
        <v>0</v>
      </c>
      <c r="G167" s="3">
        <v>127</v>
      </c>
      <c r="H167" s="7">
        <v>0</v>
      </c>
      <c r="I167" s="3">
        <v>113</v>
      </c>
      <c r="J167" s="7" t="s">
        <v>146</v>
      </c>
      <c r="K167" s="7" t="s">
        <v>8</v>
      </c>
      <c r="L167" s="11" t="str">
        <f>CONCATENATE("""",B167,""", ")</f>
        <v xml:space="preserve">"Bass Equ Frq", </v>
      </c>
      <c r="M167" s="11" t="str">
        <f>IF(K167="NULL",CONCATENATE(K167,", "),CONCATENATE("&amp;",K167,", "))</f>
        <v xml:space="preserve">NULL, </v>
      </c>
      <c r="N167" s="11" t="str">
        <f>IF(J167="NULL",CONCATENATE(J167,", "),CONCATENATE("tm_",J167,", "))</f>
        <v xml:space="preserve">tm_pot, </v>
      </c>
      <c r="O167" s="10" t="str">
        <f>CONCATENATE("  {",L167,C167,", ",D167,", ",I167,", ",M167,N167,F167,", ",G167,", ",H167,"},  // Idx ", A167)</f>
        <v xml:space="preserve">  {"Bass Equ Frq", -1, -1, 113, NULL, tm_pot, 0, 127, 0},  // Idx 165</v>
      </c>
      <c r="P167" s="6"/>
    </row>
    <row r="168" spans="1:16" x14ac:dyDescent="0.25">
      <c r="A168" s="16">
        <f t="shared" si="19"/>
        <v>166</v>
      </c>
      <c r="B168" s="33" t="s">
        <v>142</v>
      </c>
      <c r="C168" s="13">
        <v>-1</v>
      </c>
      <c r="D168" s="13">
        <v>-1</v>
      </c>
      <c r="E168" s="13"/>
      <c r="F168" s="3">
        <v>0</v>
      </c>
      <c r="G168" s="3">
        <v>127</v>
      </c>
      <c r="H168" s="7">
        <v>0</v>
      </c>
      <c r="I168" s="3">
        <v>114</v>
      </c>
      <c r="J168" s="7" t="s">
        <v>146</v>
      </c>
      <c r="K168" s="7" t="s">
        <v>8</v>
      </c>
      <c r="L168" s="11" t="str">
        <f>CONCATENATE("""",B168,""", ")</f>
        <v xml:space="preserve">"Bass Equ Q", </v>
      </c>
      <c r="M168" s="11" t="str">
        <f>IF(K168="NULL",CONCATENATE(K168,", "),CONCATENATE("&amp;",K168,", "))</f>
        <v xml:space="preserve">NULL, </v>
      </c>
      <c r="N168" s="11" t="str">
        <f>IF(J168="NULL",CONCATENATE(J168,", "),CONCATENATE("tm_",J168,", "))</f>
        <v xml:space="preserve">tm_pot, </v>
      </c>
      <c r="O168" s="10" t="str">
        <f>CONCATENATE("  {",L168,C168,", ",D168,", ",I168,", ",M168,N168,F168,", ",G168,", ",H168,"},  // Idx ", A168)</f>
        <v xml:space="preserve">  {"Bass Equ Q", -1, -1, 114, NULL, tm_pot, 0, 127, 0},  // Idx 166</v>
      </c>
      <c r="P168" s="6"/>
    </row>
    <row r="169" spans="1:16" x14ac:dyDescent="0.25">
      <c r="A169" s="16">
        <f t="shared" si="19"/>
        <v>167</v>
      </c>
      <c r="B169" s="33" t="s">
        <v>140</v>
      </c>
      <c r="C169" s="13">
        <v>-1</v>
      </c>
      <c r="D169" s="13">
        <v>-1</v>
      </c>
      <c r="E169" s="13"/>
      <c r="F169" s="3">
        <v>0</v>
      </c>
      <c r="G169" s="3">
        <v>127</v>
      </c>
      <c r="H169" s="7">
        <v>0</v>
      </c>
      <c r="I169" s="3">
        <v>115</v>
      </c>
      <c r="J169" s="7" t="s">
        <v>146</v>
      </c>
      <c r="K169" s="7" t="s">
        <v>8</v>
      </c>
      <c r="L169" s="11" t="str">
        <f>CONCATENATE("""",B169,""", ")</f>
        <v xml:space="preserve">"Mid Level", </v>
      </c>
      <c r="M169" s="11" t="str">
        <f>IF(K169="NULL",CONCATENATE(K169,", "),CONCATENATE("&amp;",K169,", "))</f>
        <v xml:space="preserve">NULL, </v>
      </c>
      <c r="N169" s="11" t="str">
        <f>IF(J169="NULL",CONCATENATE(J169,", "),CONCATENATE("tm_",J169,", "))</f>
        <v xml:space="preserve">tm_pot, </v>
      </c>
      <c r="O169" s="10" t="str">
        <f>CONCATENATE("  {",L169,C169,", ",D169,", ",I169,", ",M169,N169,F169,", ",G169,", ",H169,"},  // Idx ", A169)</f>
        <v xml:space="preserve">  {"Mid Level", -1, -1, 115, NULL, tm_pot, 0, 127, 0},  // Idx 167</v>
      </c>
      <c r="P169" s="6"/>
    </row>
    <row r="170" spans="1:16" x14ac:dyDescent="0.25">
      <c r="A170" s="16">
        <f t="shared" si="19"/>
        <v>168</v>
      </c>
      <c r="B170" s="33" t="s">
        <v>52</v>
      </c>
      <c r="C170" s="13">
        <v>-1</v>
      </c>
      <c r="D170" s="13">
        <v>-1</v>
      </c>
      <c r="E170" s="13"/>
      <c r="F170" s="3">
        <v>0</v>
      </c>
      <c r="G170" s="3">
        <v>127</v>
      </c>
      <c r="H170" s="7">
        <v>0</v>
      </c>
      <c r="I170" s="3">
        <v>116</v>
      </c>
      <c r="J170" s="7" t="s">
        <v>146</v>
      </c>
      <c r="K170" s="7" t="s">
        <v>8</v>
      </c>
      <c r="L170" s="11" t="str">
        <f>CONCATENATE("""",B170,""", ")</f>
        <v xml:space="preserve">"Mid Equ Frq  ", </v>
      </c>
      <c r="M170" s="11" t="str">
        <f>IF(K170="NULL",CONCATENATE(K170,", "),CONCATENATE("&amp;",K170,", "))</f>
        <v xml:space="preserve">NULL, </v>
      </c>
      <c r="N170" s="11" t="str">
        <f>IF(J170="NULL",CONCATENATE(J170,", "),CONCATENATE("tm_",J170,", "))</f>
        <v xml:space="preserve">tm_pot, </v>
      </c>
      <c r="O170" s="10" t="str">
        <f>CONCATENATE("  {",L170,C170,", ",D170,", ",I170,", ",M170,N170,F170,", ",G170,", ",H170,"},  // Idx ", A170)</f>
        <v xml:space="preserve">  {"Mid Equ Frq  ", -1, -1, 116, NULL, tm_pot, 0, 127, 0},  // Idx 168</v>
      </c>
      <c r="P170" s="6"/>
    </row>
    <row r="171" spans="1:16" x14ac:dyDescent="0.25">
      <c r="A171" s="16">
        <f t="shared" si="19"/>
        <v>169</v>
      </c>
      <c r="B171" s="33" t="s">
        <v>141</v>
      </c>
      <c r="C171" s="13">
        <v>-1</v>
      </c>
      <c r="D171" s="13">
        <v>-1</v>
      </c>
      <c r="E171" s="13"/>
      <c r="F171" s="3">
        <v>0</v>
      </c>
      <c r="G171" s="3">
        <v>127</v>
      </c>
      <c r="H171" s="7">
        <v>0</v>
      </c>
      <c r="I171" s="3">
        <v>117</v>
      </c>
      <c r="J171" s="7" t="s">
        <v>146</v>
      </c>
      <c r="K171" s="7" t="s">
        <v>8</v>
      </c>
      <c r="L171" s="11" t="str">
        <f>CONCATENATE("""",B171,""", ")</f>
        <v xml:space="preserve">"Mid Equ Q", </v>
      </c>
      <c r="M171" s="11" t="str">
        <f>IF(K171="NULL",CONCATENATE(K171,", "),CONCATENATE("&amp;",K171,", "))</f>
        <v xml:space="preserve">NULL, </v>
      </c>
      <c r="N171" s="11" t="str">
        <f>IF(J171="NULL",CONCATENATE(J171,", "),CONCATENATE("tm_",J171,", "))</f>
        <v xml:space="preserve">tm_pot, </v>
      </c>
      <c r="O171" s="10" t="str">
        <f>CONCATENATE("  {",L171,C171,", ",D171,", ",I171,", ",M171,N171,F171,", ",G171,", ",H171,"},  // Idx ", A171)</f>
        <v xml:space="preserve">  {"Mid Equ Q", -1, -1, 117, NULL, tm_pot, 0, 127, 0},  // Idx 169</v>
      </c>
      <c r="P171" s="6"/>
    </row>
    <row r="172" spans="1:16" x14ac:dyDescent="0.25">
      <c r="A172" s="16">
        <f t="shared" si="19"/>
        <v>170</v>
      </c>
      <c r="B172" s="33" t="s">
        <v>128</v>
      </c>
      <c r="C172" s="13">
        <v>-1</v>
      </c>
      <c r="D172" s="13">
        <v>-1</v>
      </c>
      <c r="E172" s="13"/>
      <c r="F172" s="3">
        <v>0</v>
      </c>
      <c r="G172" s="3">
        <v>127</v>
      </c>
      <c r="H172" s="7">
        <v>0</v>
      </c>
      <c r="I172" s="3">
        <v>118</v>
      </c>
      <c r="J172" s="7" t="s">
        <v>146</v>
      </c>
      <c r="K172" s="7" t="s">
        <v>8</v>
      </c>
      <c r="L172" s="11" t="str">
        <f>CONCATENATE("""",B172,""", ")</f>
        <v xml:space="preserve">"Treble Level", </v>
      </c>
      <c r="M172" s="11" t="str">
        <f>IF(K172="NULL",CONCATENATE(K172,", "),CONCATENATE("&amp;",K172,", "))</f>
        <v xml:space="preserve">NULL, </v>
      </c>
      <c r="N172" s="11" t="str">
        <f>IF(J172="NULL",CONCATENATE(J172,", "),CONCATENATE("tm_",J172,", "))</f>
        <v xml:space="preserve">tm_pot, </v>
      </c>
      <c r="O172" s="10" t="str">
        <f>CONCATENATE("  {",L172,C172,", ",D172,", ",I172,", ",M172,N172,F172,", ",G172,", ",H172,"},  // Idx ", A172)</f>
        <v xml:space="preserve">  {"Treble Level", -1, -1, 118, NULL, tm_pot, 0, 127, 0},  // Idx 170</v>
      </c>
      <c r="P172" s="6"/>
    </row>
    <row r="173" spans="1:16" x14ac:dyDescent="0.25">
      <c r="A173" s="16">
        <f t="shared" si="19"/>
        <v>171</v>
      </c>
      <c r="B173" s="33" t="s">
        <v>145</v>
      </c>
      <c r="C173" s="13">
        <v>-1</v>
      </c>
      <c r="D173" s="13">
        <v>-1</v>
      </c>
      <c r="E173" s="13"/>
      <c r="F173" s="3">
        <v>0</v>
      </c>
      <c r="G173" s="3">
        <v>127</v>
      </c>
      <c r="H173" s="7">
        <v>0</v>
      </c>
      <c r="I173" s="3">
        <v>119</v>
      </c>
      <c r="J173" s="7" t="s">
        <v>146</v>
      </c>
      <c r="K173" s="7" t="s">
        <v>8</v>
      </c>
      <c r="L173" s="11" t="str">
        <f>CONCATENATE("""",B173,""", ")</f>
        <v xml:space="preserve">"Treb Equ Frq", </v>
      </c>
      <c r="M173" s="11" t="str">
        <f>IF(K173="NULL",CONCATENATE(K173,", "),CONCATENATE("&amp;",K173,", "))</f>
        <v xml:space="preserve">NULL, </v>
      </c>
      <c r="N173" s="11" t="str">
        <f>IF(J173="NULL",CONCATENATE(J173,", "),CONCATENATE("tm_",J173,", "))</f>
        <v xml:space="preserve">tm_pot, </v>
      </c>
      <c r="O173" s="10" t="str">
        <f>CONCATENATE("  {",L173,C173,", ",D173,", ",I173,", ",M173,N173,F173,", ",G173,", ",H173,"},  // Idx ", A173)</f>
        <v xml:space="preserve">  {"Treb Equ Frq", -1, -1, 119, NULL, tm_pot, 0, 127, 0},  // Idx 171</v>
      </c>
      <c r="P173" s="6"/>
    </row>
    <row r="174" spans="1:16" x14ac:dyDescent="0.25">
      <c r="A174" s="16">
        <f t="shared" si="19"/>
        <v>172</v>
      </c>
      <c r="B174" s="33" t="s">
        <v>144</v>
      </c>
      <c r="C174" s="13">
        <v>-1</v>
      </c>
      <c r="D174" s="13">
        <v>-1</v>
      </c>
      <c r="E174" s="13"/>
      <c r="F174" s="3">
        <v>0</v>
      </c>
      <c r="G174" s="3">
        <v>127</v>
      </c>
      <c r="H174" s="7">
        <v>0</v>
      </c>
      <c r="I174" s="3">
        <v>120</v>
      </c>
      <c r="J174" s="7" t="s">
        <v>146</v>
      </c>
      <c r="K174" s="7" t="s">
        <v>8</v>
      </c>
      <c r="L174" s="11" t="str">
        <f>CONCATENATE("""",B174,""", ")</f>
        <v xml:space="preserve">"Treb Equ Q", </v>
      </c>
      <c r="M174" s="11" t="str">
        <f>IF(K174="NULL",CONCATENATE(K174,", "),CONCATENATE("&amp;",K174,", "))</f>
        <v xml:space="preserve">NULL, </v>
      </c>
      <c r="N174" s="11" t="str">
        <f>IF(J174="NULL",CONCATENATE(J174,", "),CONCATENATE("tm_",J174,", "))</f>
        <v xml:space="preserve">tm_pot, </v>
      </c>
      <c r="O174" s="10" t="str">
        <f>CONCATENATE("  {",L174,C174,", ",D174,", ",I174,", ",M174,N174,F174,", ",G174,", ",H174,"},  // Idx ", A174)</f>
        <v xml:space="preserve">  {"Treb Equ Q", -1, -1, 120, NULL, tm_pot, 0, 127, 0},  // Idx 172</v>
      </c>
      <c r="P174" s="6"/>
    </row>
    <row r="175" spans="1:16" x14ac:dyDescent="0.25">
      <c r="A175" s="16">
        <f t="shared" si="19"/>
        <v>173</v>
      </c>
      <c r="B175" s="33" t="s">
        <v>143</v>
      </c>
      <c r="C175" s="13">
        <v>-1</v>
      </c>
      <c r="D175" s="13">
        <v>-1</v>
      </c>
      <c r="E175" s="13"/>
      <c r="F175" s="3">
        <v>0</v>
      </c>
      <c r="G175" s="3">
        <v>1</v>
      </c>
      <c r="H175" s="7">
        <v>0</v>
      </c>
      <c r="I175" s="3">
        <v>121</v>
      </c>
      <c r="J175" s="7" t="s">
        <v>28</v>
      </c>
      <c r="K175" s="7" t="s">
        <v>8</v>
      </c>
      <c r="L175" s="11" t="str">
        <f>CONCATENATE("""",B175,""", ")</f>
        <v xml:space="preserve">"Parametr B/T", </v>
      </c>
      <c r="M175" s="11" t="str">
        <f>IF(K175="NULL",CONCATENATE(K175,", "),CONCATENATE("&amp;",K175,", "))</f>
        <v xml:space="preserve">NULL, </v>
      </c>
      <c r="N175" s="11" t="str">
        <f>IF(J175="NULL",CONCATENATE(J175,", "),CONCATENATE("tm_",J175,", "))</f>
        <v xml:space="preserve">tm_tab, </v>
      </c>
      <c r="O175" s="10" t="str">
        <f>CONCATENATE("  {",L175,C175,", ",D175,", ",I175,", ",M175,N175,F175,", ",G175,", ",H175,"},  // Idx ", A175)</f>
        <v xml:space="preserve">  {"Parametr B/T", -1, -1, 121, NULL, tm_tab, 0, 1, 0},  // Idx 173</v>
      </c>
      <c r="P175" s="6"/>
    </row>
    <row r="176" spans="1:16" x14ac:dyDescent="0.25">
      <c r="A176" s="16">
        <f t="shared" si="19"/>
        <v>174</v>
      </c>
      <c r="B176" s="31" t="s">
        <v>120</v>
      </c>
      <c r="C176" s="13">
        <v>-1</v>
      </c>
      <c r="D176" s="13">
        <v>-1</v>
      </c>
      <c r="E176" s="13"/>
      <c r="F176" s="3">
        <v>0</v>
      </c>
      <c r="G176" s="3">
        <v>63</v>
      </c>
      <c r="H176" s="7">
        <v>0</v>
      </c>
      <c r="I176" s="7">
        <v>448</v>
      </c>
      <c r="J176" s="7" t="s">
        <v>146</v>
      </c>
      <c r="K176" s="7" t="s">
        <v>8</v>
      </c>
      <c r="L176" s="11" t="str">
        <f t="shared" ref="L176:L183" si="26">CONCATENATE("""",B176,""", ")</f>
        <v xml:space="preserve">"Horn SlowSpeed", </v>
      </c>
      <c r="M176" s="11" t="str">
        <f t="shared" ref="M176:M183" si="27">IF(K176="NULL",CONCATENATE(K176,", "),CONCATENATE("&amp;",K176,", "))</f>
        <v xml:space="preserve">NULL, </v>
      </c>
      <c r="N176" s="11" t="str">
        <f>IF(J176="NULL",CONCATENATE(J176,", "),CONCATENATE("tm_",J176,", "))</f>
        <v xml:space="preserve">tm_pot, </v>
      </c>
      <c r="O176" s="10" t="str">
        <f>CONCATENATE("  {",L176,C176,", ",D176,", ",I176,", ",M176,N176,F176,", ",G176,", ",H176,"},  // Idx ", A176)</f>
        <v xml:space="preserve">  {"Horn SlowSpeed", -1, -1, 448, NULL, tm_pot, 0, 63, 0},  // Idx 174</v>
      </c>
      <c r="P176" s="6"/>
    </row>
    <row r="177" spans="1:16" x14ac:dyDescent="0.25">
      <c r="A177" s="16">
        <f t="shared" si="19"/>
        <v>175</v>
      </c>
      <c r="B177" s="31" t="s">
        <v>121</v>
      </c>
      <c r="C177" s="13">
        <v>-1</v>
      </c>
      <c r="D177" s="13">
        <v>-1</v>
      </c>
      <c r="E177" s="13"/>
      <c r="F177" s="3">
        <v>0</v>
      </c>
      <c r="G177" s="3">
        <v>63</v>
      </c>
      <c r="H177" s="7">
        <v>0</v>
      </c>
      <c r="I177" s="7">
        <v>449</v>
      </c>
      <c r="J177" s="7" t="s">
        <v>146</v>
      </c>
      <c r="K177" s="7" t="s">
        <v>8</v>
      </c>
      <c r="L177" s="11" t="str">
        <f t="shared" si="26"/>
        <v xml:space="preserve">"Rotr SlowSpeed", </v>
      </c>
      <c r="M177" s="11" t="str">
        <f t="shared" si="27"/>
        <v xml:space="preserve">NULL, </v>
      </c>
      <c r="N177" s="11" t="str">
        <f>IF(J177="NULL",CONCATENATE(J177,", "),CONCATENATE("tm_",J177,", "))</f>
        <v xml:space="preserve">tm_pot, </v>
      </c>
      <c r="O177" s="10" t="str">
        <f>CONCATENATE("  {",L177,C177,", ",D177,", ",I177,", ",M177,N177,F177,", ",G177,", ",H177,"},  // Idx ", A177)</f>
        <v xml:space="preserve">  {"Rotr SlowSpeed", -1, -1, 449, NULL, tm_pot, 0, 63, 0},  // Idx 175</v>
      </c>
      <c r="P177" s="6"/>
    </row>
    <row r="178" spans="1:16" x14ac:dyDescent="0.25">
      <c r="A178" s="16">
        <f t="shared" si="19"/>
        <v>176</v>
      </c>
      <c r="B178" s="31" t="s">
        <v>122</v>
      </c>
      <c r="C178" s="13">
        <v>-1</v>
      </c>
      <c r="D178" s="13">
        <v>-1</v>
      </c>
      <c r="E178" s="13"/>
      <c r="F178" s="3">
        <v>0</v>
      </c>
      <c r="G178" s="3">
        <v>127</v>
      </c>
      <c r="H178" s="7">
        <v>0</v>
      </c>
      <c r="I178" s="7">
        <v>450</v>
      </c>
      <c r="J178" s="7" t="s">
        <v>146</v>
      </c>
      <c r="K178" s="7" t="s">
        <v>8</v>
      </c>
      <c r="L178" s="11" t="str">
        <f t="shared" si="26"/>
        <v xml:space="preserve">"Horn FastSpeed", </v>
      </c>
      <c r="M178" s="11" t="str">
        <f t="shared" si="27"/>
        <v xml:space="preserve">NULL, </v>
      </c>
      <c r="N178" s="11" t="str">
        <f>IF(J178="NULL",CONCATENATE(J178,", "),CONCATENATE("tm_",J178,", "))</f>
        <v xml:space="preserve">tm_pot, </v>
      </c>
      <c r="O178" s="10" t="str">
        <f>CONCATENATE("  {",L178,C178,", ",D178,", ",I178,", ",M178,N178,F178,", ",G178,", ",H178,"},  // Idx ", A178)</f>
        <v xml:space="preserve">  {"Horn FastSpeed", -1, -1, 450, NULL, tm_pot, 0, 127, 0},  // Idx 176</v>
      </c>
      <c r="P178" s="6"/>
    </row>
    <row r="179" spans="1:16" x14ac:dyDescent="0.25">
      <c r="A179" s="16">
        <f t="shared" si="19"/>
        <v>177</v>
      </c>
      <c r="B179" s="31" t="s">
        <v>123</v>
      </c>
      <c r="C179" s="13">
        <v>-1</v>
      </c>
      <c r="D179" s="13">
        <v>-1</v>
      </c>
      <c r="E179" s="13"/>
      <c r="F179" s="3">
        <v>0</v>
      </c>
      <c r="G179" s="3">
        <v>127</v>
      </c>
      <c r="H179" s="7">
        <v>0</v>
      </c>
      <c r="I179" s="7">
        <v>451</v>
      </c>
      <c r="J179" s="7" t="s">
        <v>146</v>
      </c>
      <c r="K179" s="7" t="s">
        <v>8</v>
      </c>
      <c r="L179" s="11" t="str">
        <f t="shared" si="26"/>
        <v xml:space="preserve">"Rotr FastSpeed", </v>
      </c>
      <c r="M179" s="11" t="str">
        <f t="shared" si="27"/>
        <v xml:space="preserve">NULL, </v>
      </c>
      <c r="N179" s="11" t="str">
        <f>IF(J179="NULL",CONCATENATE(J179,", "),CONCATENATE("tm_",J179,", "))</f>
        <v xml:space="preserve">tm_pot, </v>
      </c>
      <c r="O179" s="10" t="str">
        <f>CONCATENATE("  {",L179,C179,", ",D179,", ",I179,", ",M179,N179,F179,", ",G179,", ",H179,"},  // Idx ", A179)</f>
        <v xml:space="preserve">  {"Rotr FastSpeed", -1, -1, 451, NULL, tm_pot, 0, 127, 0},  // Idx 177</v>
      </c>
      <c r="P179" s="6"/>
    </row>
    <row r="180" spans="1:16" x14ac:dyDescent="0.25">
      <c r="A180" s="16">
        <f t="shared" si="19"/>
        <v>178</v>
      </c>
      <c r="B180" s="31" t="s">
        <v>124</v>
      </c>
      <c r="C180" s="13">
        <v>-1</v>
      </c>
      <c r="D180" s="13">
        <v>-1</v>
      </c>
      <c r="E180" s="13"/>
      <c r="F180" s="3">
        <v>0</v>
      </c>
      <c r="G180" s="3">
        <v>31</v>
      </c>
      <c r="H180" s="7">
        <v>0</v>
      </c>
      <c r="I180" s="7">
        <v>452</v>
      </c>
      <c r="J180" s="7" t="s">
        <v>146</v>
      </c>
      <c r="K180" s="7" t="s">
        <v>8</v>
      </c>
      <c r="L180" s="11" t="str">
        <f t="shared" si="26"/>
        <v xml:space="preserve">"Horn RampUp   ", </v>
      </c>
      <c r="M180" s="11" t="str">
        <f t="shared" si="27"/>
        <v xml:space="preserve">NULL, </v>
      </c>
      <c r="N180" s="11" t="str">
        <f>IF(J180="NULL",CONCATENATE(J180,", "),CONCATENATE("tm_",J180,", "))</f>
        <v xml:space="preserve">tm_pot, </v>
      </c>
      <c r="O180" s="10" t="str">
        <f>CONCATENATE("  {",L180,C180,", ",D180,", ",I180,", ",M180,N180,F180,", ",G180,", ",H180,"},  // Idx ", A180)</f>
        <v xml:space="preserve">  {"Horn RampUp   ", -1, -1, 452, NULL, tm_pot, 0, 31, 0},  // Idx 178</v>
      </c>
      <c r="P180" s="6"/>
    </row>
    <row r="181" spans="1:16" x14ac:dyDescent="0.25">
      <c r="A181" s="16">
        <f t="shared" si="19"/>
        <v>179</v>
      </c>
      <c r="B181" s="31" t="s">
        <v>125</v>
      </c>
      <c r="C181" s="13">
        <v>-1</v>
      </c>
      <c r="D181" s="13">
        <v>-1</v>
      </c>
      <c r="E181" s="13"/>
      <c r="F181" s="3">
        <v>0</v>
      </c>
      <c r="G181" s="3">
        <v>31</v>
      </c>
      <c r="H181" s="7">
        <v>0</v>
      </c>
      <c r="I181" s="7">
        <v>453</v>
      </c>
      <c r="J181" s="7" t="s">
        <v>146</v>
      </c>
      <c r="K181" s="7" t="s">
        <v>8</v>
      </c>
      <c r="L181" s="11" t="str">
        <f t="shared" si="26"/>
        <v xml:space="preserve">"Rotor RampUp  ", </v>
      </c>
      <c r="M181" s="11" t="str">
        <f t="shared" si="27"/>
        <v xml:space="preserve">NULL, </v>
      </c>
      <c r="N181" s="11" t="str">
        <f>IF(J181="NULL",CONCATENATE(J181,", "),CONCATENATE("tm_",J181,", "))</f>
        <v xml:space="preserve">tm_pot, </v>
      </c>
      <c r="O181" s="10" t="str">
        <f>CONCATENATE("  {",L181,C181,", ",D181,", ",I181,", ",M181,N181,F181,", ",G181,", ",H181,"},  // Idx ", A181)</f>
        <v xml:space="preserve">  {"Rotor RampUp  ", -1, -1, 453, NULL, tm_pot, 0, 31, 0},  // Idx 179</v>
      </c>
      <c r="P181" s="6"/>
    </row>
    <row r="182" spans="1:16" x14ac:dyDescent="0.25">
      <c r="A182" s="16">
        <f t="shared" si="19"/>
        <v>180</v>
      </c>
      <c r="B182" s="31" t="s">
        <v>126</v>
      </c>
      <c r="C182" s="13">
        <v>-1</v>
      </c>
      <c r="D182" s="13">
        <v>-1</v>
      </c>
      <c r="E182" s="13"/>
      <c r="F182" s="3">
        <v>0</v>
      </c>
      <c r="G182" s="3">
        <v>31</v>
      </c>
      <c r="H182" s="7">
        <v>0</v>
      </c>
      <c r="I182" s="7">
        <v>454</v>
      </c>
      <c r="J182" s="7" t="s">
        <v>146</v>
      </c>
      <c r="K182" s="7" t="s">
        <v>8</v>
      </c>
      <c r="L182" s="11" t="str">
        <f t="shared" si="26"/>
        <v xml:space="preserve">"Horn RampDown ", </v>
      </c>
      <c r="M182" s="11" t="str">
        <f t="shared" si="27"/>
        <v xml:space="preserve">NULL, </v>
      </c>
      <c r="N182" s="11" t="str">
        <f>IF(J182="NULL",CONCATENATE(J182,", "),CONCATENATE("tm_",J182,", "))</f>
        <v xml:space="preserve">tm_pot, </v>
      </c>
      <c r="O182" s="10" t="str">
        <f>CONCATENATE("  {",L182,C182,", ",D182,", ",I182,", ",M182,N182,F182,", ",G182,", ",H182,"},  // Idx ", A182)</f>
        <v xml:space="preserve">  {"Horn RampDown ", -1, -1, 454, NULL, tm_pot, 0, 31, 0},  // Idx 180</v>
      </c>
      <c r="P182" s="6"/>
    </row>
    <row r="183" spans="1:16" x14ac:dyDescent="0.25">
      <c r="A183" s="16">
        <f t="shared" si="19"/>
        <v>181</v>
      </c>
      <c r="B183" s="31" t="s">
        <v>127</v>
      </c>
      <c r="C183" s="13">
        <v>-1</v>
      </c>
      <c r="D183" s="13">
        <v>-1</v>
      </c>
      <c r="E183" s="13"/>
      <c r="F183" s="3">
        <v>0</v>
      </c>
      <c r="G183" s="3">
        <v>31</v>
      </c>
      <c r="H183" s="7">
        <v>0</v>
      </c>
      <c r="I183" s="7">
        <v>455</v>
      </c>
      <c r="J183" s="7" t="s">
        <v>146</v>
      </c>
      <c r="K183" s="7" t="s">
        <v>8</v>
      </c>
      <c r="L183" s="11" t="str">
        <f t="shared" si="26"/>
        <v xml:space="preserve">"Rotor RampDown", </v>
      </c>
      <c r="M183" s="11" t="str">
        <f t="shared" si="27"/>
        <v xml:space="preserve">NULL, </v>
      </c>
      <c r="N183" s="11" t="str">
        <f>IF(J183="NULL",CONCATENATE(J183,", "),CONCATENATE("tm_",J183,", "))</f>
        <v xml:space="preserve">tm_pot, </v>
      </c>
      <c r="O183" s="10" t="str">
        <f>CONCATENATE("  {",L183,C183,", ",D183,", ",I183,", ",M183,N183,F183,", ",G183,", ",H183,"},  // Idx ", A183)</f>
        <v xml:space="preserve">  {"Rotor RampDown", -1, -1, 455, NULL, tm_pot, 0, 31, 0},  // Idx 181</v>
      </c>
      <c r="P183" s="6"/>
    </row>
    <row r="184" spans="1:16" x14ac:dyDescent="0.25">
      <c r="A184" s="16">
        <f t="shared" si="19"/>
        <v>182</v>
      </c>
      <c r="B184" s="31" t="s">
        <v>58</v>
      </c>
      <c r="C184" s="13">
        <v>-1</v>
      </c>
      <c r="D184" s="13">
        <v>-1</v>
      </c>
      <c r="E184" s="13"/>
      <c r="F184" s="3">
        <v>0</v>
      </c>
      <c r="G184" s="3">
        <v>127</v>
      </c>
      <c r="H184" s="7">
        <v>0</v>
      </c>
      <c r="I184" s="7">
        <v>456</v>
      </c>
      <c r="J184" s="7" t="s">
        <v>146</v>
      </c>
      <c r="K184" s="7" t="s">
        <v>8</v>
      </c>
      <c r="L184" s="11" t="str">
        <f>CONCATENATE("""",B184,""", ")</f>
        <v xml:space="preserve">"Rotary Throb ", </v>
      </c>
      <c r="M184" s="11" t="str">
        <f>IF(K184="NULL",CONCATENATE(K184,", "),CONCATENATE("&amp;",K184,", "))</f>
        <v xml:space="preserve">NULL, </v>
      </c>
      <c r="N184" s="11" t="str">
        <f>IF(J184="NULL",CONCATENATE(J184,", "),CONCATENATE("tm_",J184,", "))</f>
        <v xml:space="preserve">tm_pot, </v>
      </c>
      <c r="O184" s="10" t="str">
        <f>CONCATENATE("  {",L184,C184,", ",D184,", ",I184,", ",M184,N184,F184,", ",G184,", ",H184,"},  // Idx ", A184)</f>
        <v xml:space="preserve">  {"Rotary Throb ", -1, -1, 456, NULL, tm_pot, 0, 127, 0},  // Idx 182</v>
      </c>
      <c r="P184" s="6"/>
    </row>
    <row r="185" spans="1:16" x14ac:dyDescent="0.25">
      <c r="A185" s="16">
        <f t="shared" si="19"/>
        <v>183</v>
      </c>
      <c r="B185" s="31" t="s">
        <v>59</v>
      </c>
      <c r="C185" s="13">
        <v>-1</v>
      </c>
      <c r="D185" s="13">
        <v>-1</v>
      </c>
      <c r="E185" s="13"/>
      <c r="F185" s="3">
        <v>0</v>
      </c>
      <c r="G185" s="3">
        <v>127</v>
      </c>
      <c r="H185" s="7">
        <v>0</v>
      </c>
      <c r="I185" s="7">
        <v>457</v>
      </c>
      <c r="J185" s="7" t="s">
        <v>146</v>
      </c>
      <c r="K185" s="7" t="s">
        <v>8</v>
      </c>
      <c r="L185" s="11" t="str">
        <f>CONCATENATE("""",B185,""", ")</f>
        <v xml:space="preserve">"Rotary Spread", </v>
      </c>
      <c r="M185" s="11" t="str">
        <f>IF(K185="NULL",CONCATENATE(K185,", "),CONCATENATE("&amp;",K185,", "))</f>
        <v xml:space="preserve">NULL, </v>
      </c>
      <c r="N185" s="11" t="str">
        <f>IF(J185="NULL",CONCATENATE(J185,", "),CONCATENATE("tm_",J185,", "))</f>
        <v xml:space="preserve">tm_pot, </v>
      </c>
      <c r="O185" s="10" t="str">
        <f>CONCATENATE("  {",L185,C185,", ",D185,", ",I185,", ",M185,N185,F185,", ",G185,", ",H185,"},  // Idx ", A185)</f>
        <v xml:space="preserve">  {"Rotary Spread", -1, -1, 457, NULL, tm_pot, 0, 127, 0},  // Idx 183</v>
      </c>
      <c r="P185" s="6"/>
    </row>
    <row r="186" spans="1:16" x14ac:dyDescent="0.25">
      <c r="A186" s="16">
        <f t="shared" si="19"/>
        <v>184</v>
      </c>
      <c r="B186" s="31" t="s">
        <v>166</v>
      </c>
      <c r="C186" s="13">
        <v>-1</v>
      </c>
      <c r="D186" s="13">
        <v>-1</v>
      </c>
      <c r="E186" s="13"/>
      <c r="F186" s="3">
        <v>0</v>
      </c>
      <c r="G186" s="3">
        <v>127</v>
      </c>
      <c r="H186" s="7">
        <v>0</v>
      </c>
      <c r="I186" s="7">
        <v>458</v>
      </c>
      <c r="J186" s="7" t="s">
        <v>146</v>
      </c>
      <c r="K186" s="7" t="s">
        <v>8</v>
      </c>
      <c r="L186" s="11" t="str">
        <f>CONCATENATE("""",B186,""", ")</f>
        <v xml:space="preserve">"Rotary Balance", </v>
      </c>
      <c r="M186" s="11" t="str">
        <f>IF(K186="NULL",CONCATENATE(K186,", "),CONCATENATE("&amp;",K186,", "))</f>
        <v xml:space="preserve">NULL, </v>
      </c>
      <c r="N186" s="11" t="str">
        <f>IF(J186="NULL",CONCATENATE(J186,", "),CONCATENATE("tm_",J186,", "))</f>
        <v xml:space="preserve">tm_pot, </v>
      </c>
      <c r="O186" s="10" t="str">
        <f>CONCATENATE("  {",L186,C186,", ",D186,", ",I186,", ",M186,N186,F186,", ",G186,", ",H186,"},  // Idx ", A186)</f>
        <v xml:space="preserve">  {"Rotary Balance", -1, -1, 458, NULL, tm_pot, 0, 127, 0},  // Idx 184</v>
      </c>
      <c r="P186" s="6"/>
    </row>
    <row r="187" spans="1:16" x14ac:dyDescent="0.25">
      <c r="A187" s="16">
        <f t="shared" si="19"/>
        <v>185</v>
      </c>
      <c r="B187" s="31" t="s">
        <v>60</v>
      </c>
      <c r="C187" s="13">
        <v>-1</v>
      </c>
      <c r="D187" s="13">
        <v>-1</v>
      </c>
      <c r="E187" s="13"/>
      <c r="F187" s="3">
        <v>0</v>
      </c>
      <c r="G187" s="3">
        <v>7</v>
      </c>
      <c r="H187" s="7">
        <v>0</v>
      </c>
      <c r="I187" s="7">
        <v>460</v>
      </c>
      <c r="J187" s="7" t="s">
        <v>26</v>
      </c>
      <c r="K187" s="7" t="s">
        <v>8</v>
      </c>
      <c r="L187" s="11" t="str">
        <f>CONCATENATE("""",B187,""", ")</f>
        <v xml:space="preserve">"Tube Select A", </v>
      </c>
      <c r="M187" s="11" t="str">
        <f>IF(K187="NULL",CONCATENATE(K187,", "),CONCATENATE("&amp;",K187,", "))</f>
        <v xml:space="preserve">NULL, </v>
      </c>
      <c r="N187" s="11" t="str">
        <f>IF(J187="NULL",CONCATENATE(J187,", "),CONCATENATE("tm_",J187,", "))</f>
        <v xml:space="preserve">tm_numeric, </v>
      </c>
      <c r="O187" s="10" t="str">
        <f>CONCATENATE("  {",L187,C187,", ",D187,", ",I187,", ",M187,N187,F187,", ",G187,", ",H187,"},  // Idx ", A187)</f>
        <v xml:space="preserve">  {"Tube Select A", -1, -1, 460, NULL, tm_numeric, 0, 7, 0},  // Idx 185</v>
      </c>
      <c r="P187" s="6"/>
    </row>
    <row r="188" spans="1:16" x14ac:dyDescent="0.25">
      <c r="A188" s="16">
        <f t="shared" si="19"/>
        <v>186</v>
      </c>
      <c r="B188" s="31" t="s">
        <v>61</v>
      </c>
      <c r="C188" s="13">
        <v>-1</v>
      </c>
      <c r="D188" s="13">
        <v>-1</v>
      </c>
      <c r="E188" s="13"/>
      <c r="F188" s="3">
        <v>0</v>
      </c>
      <c r="G188" s="3">
        <v>7</v>
      </c>
      <c r="H188" s="7">
        <v>0</v>
      </c>
      <c r="I188" s="7">
        <v>461</v>
      </c>
      <c r="J188" s="7" t="s">
        <v>26</v>
      </c>
      <c r="K188" s="7" t="s">
        <v>8</v>
      </c>
      <c r="L188" s="11" t="str">
        <f>CONCATENATE("""",B188,""", ")</f>
        <v xml:space="preserve">"Tube Select B", </v>
      </c>
      <c r="M188" s="11" t="str">
        <f>IF(K188="NULL",CONCATENATE(K188,", "),CONCATENATE("&amp;",K188,", "))</f>
        <v xml:space="preserve">NULL, </v>
      </c>
      <c r="N188" s="11" t="str">
        <f>IF(J188="NULL",CONCATENATE(J188,", "),CONCATENATE("tm_",J188,", "))</f>
        <v xml:space="preserve">tm_numeric, </v>
      </c>
      <c r="O188" s="10" t="str">
        <f>CONCATENATE("  {",L188,C188,", ",D188,", ",I188,", ",M188,N188,F188,", ",G188,", ",H188,"},  // Idx ", A188)</f>
        <v xml:space="preserve">  {"Tube Select B", -1, -1, 461, NULL, tm_numeric, 0, 7, 0},  // Idx 186</v>
      </c>
      <c r="P188" s="6"/>
    </row>
    <row r="189" spans="1:16" s="6" customFormat="1" x14ac:dyDescent="0.25">
      <c r="A189" s="16">
        <f t="shared" si="19"/>
        <v>187</v>
      </c>
      <c r="B189" s="35" t="s">
        <v>45</v>
      </c>
      <c r="C189" s="13">
        <v>-1</v>
      </c>
      <c r="D189" s="13">
        <v>-1</v>
      </c>
      <c r="E189" s="13"/>
      <c r="F189" s="7">
        <v>0</v>
      </c>
      <c r="G189" s="7">
        <v>24</v>
      </c>
      <c r="H189" s="7">
        <v>0</v>
      </c>
      <c r="I189" s="7">
        <v>355</v>
      </c>
      <c r="J189" s="7" t="s">
        <v>26</v>
      </c>
      <c r="K189" s="7" t="s">
        <v>8</v>
      </c>
      <c r="L189" s="11" t="str">
        <f>CONCATENATE("""",B189,""", ")</f>
        <v xml:space="preserve">"Transpose", </v>
      </c>
      <c r="M189" s="11" t="str">
        <f>IF(K189="NULL",CONCATENATE(K189,", "),CONCATENATE("&amp;",K189,", "))</f>
        <v xml:space="preserve">NULL, </v>
      </c>
      <c r="N189" s="11" t="str">
        <f>IF(J189="NULL",CONCATENATE(J189,", "),CONCATENATE("tm_",J189,", "))</f>
        <v xml:space="preserve">tm_numeric, </v>
      </c>
      <c r="O189" s="10" t="str">
        <f>CONCATENATE("  {",L189,C189,", ",D189,", ",I189,", ",M189,N189,F189,", ",G189,", ",H189,"},  // Idx ", A189)</f>
        <v xml:space="preserve">  {"Transpose", -1, -1, 355, NULL, tm_numeric, 0, 24, 0},  // Idx 187</v>
      </c>
    </row>
    <row r="190" spans="1:16" s="6" customFormat="1" x14ac:dyDescent="0.25">
      <c r="A190" s="16">
        <f t="shared" si="19"/>
        <v>188</v>
      </c>
      <c r="B190" s="35" t="s">
        <v>1</v>
      </c>
      <c r="C190" s="13">
        <v>-1</v>
      </c>
      <c r="D190" s="13">
        <v>-1</v>
      </c>
      <c r="E190" s="13"/>
      <c r="F190" s="7">
        <v>1</v>
      </c>
      <c r="G190" s="7">
        <v>30</v>
      </c>
      <c r="H190" s="7">
        <v>0</v>
      </c>
      <c r="I190" s="7">
        <v>363</v>
      </c>
      <c r="J190" s="7" t="s">
        <v>146</v>
      </c>
      <c r="K190" s="7" t="s">
        <v>8</v>
      </c>
      <c r="L190" s="11" t="str">
        <f>CONCATENATE("""",B190,""", ")</f>
        <v xml:space="preserve">"Velocity Slope", </v>
      </c>
      <c r="M190" s="11" t="str">
        <f>IF(K190="NULL",CONCATENATE(K190,", "),CONCATENATE("&amp;",K190,", "))</f>
        <v xml:space="preserve">NULL, </v>
      </c>
      <c r="N190" s="11" t="str">
        <f>IF(J190="NULL",CONCATENATE(J190,", "),CONCATENATE("tm_",J190,", "))</f>
        <v xml:space="preserve">tm_pot, </v>
      </c>
      <c r="O190" s="10" t="str">
        <f>CONCATENATE("  {",L190,C190,", ",D190,", ",I190,", ",M190,N190,F190,", ",G190,", ",H190,"},  // Idx ", A190)</f>
        <v xml:space="preserve">  {"Velocity Slope", -1, -1, 363, NULL, tm_pot, 1, 30, 0},  // Idx 188</v>
      </c>
    </row>
    <row r="191" spans="1:16" s="6" customFormat="1" x14ac:dyDescent="0.25">
      <c r="A191" s="16">
        <f t="shared" si="19"/>
        <v>189</v>
      </c>
      <c r="B191" s="35" t="s">
        <v>11</v>
      </c>
      <c r="C191" s="13">
        <v>-1</v>
      </c>
      <c r="D191" s="13">
        <v>-1</v>
      </c>
      <c r="E191" s="13"/>
      <c r="F191" s="7">
        <v>1</v>
      </c>
      <c r="G191" s="7">
        <v>12</v>
      </c>
      <c r="H191" s="7">
        <v>0</v>
      </c>
      <c r="I191" s="7">
        <v>368</v>
      </c>
      <c r="J191" s="7" t="s">
        <v>26</v>
      </c>
      <c r="K191" s="7" t="s">
        <v>8</v>
      </c>
      <c r="L191" s="11" t="str">
        <f>CONCATENATE("""",B191,""", ")</f>
        <v xml:space="preserve">"MIDI Channel", </v>
      </c>
      <c r="M191" s="11" t="str">
        <f>IF(K191="NULL",CONCATENATE(K191,", "),CONCATENATE("&amp;",K191,", "))</f>
        <v xml:space="preserve">NULL, </v>
      </c>
      <c r="N191" s="11" t="str">
        <f>IF(J191="NULL",CONCATENATE(J191,", "),CONCATENATE("tm_",J191,", "))</f>
        <v xml:space="preserve">tm_numeric, </v>
      </c>
      <c r="O191" s="10" t="str">
        <f>CONCATENATE("  {",L191,C191,", ",D191,", ",I191,", ",M191,N191,F191,", ",G191,", ",H191,"},  // Idx ", A191)</f>
        <v xml:space="preserve">  {"MIDI Channel", -1, -1, 368, NULL, tm_numeric, 1, 12, 0},  // Idx 189</v>
      </c>
    </row>
    <row r="192" spans="1:16" s="6" customFormat="1" x14ac:dyDescent="0.25">
      <c r="A192" s="16">
        <f t="shared" si="19"/>
        <v>190</v>
      </c>
      <c r="B192" s="35" t="s">
        <v>33</v>
      </c>
      <c r="C192" s="13">
        <v>-1</v>
      </c>
      <c r="D192" s="13">
        <v>-1</v>
      </c>
      <c r="E192" s="13"/>
      <c r="F192" s="7">
        <v>0</v>
      </c>
      <c r="G192" s="7">
        <v>10</v>
      </c>
      <c r="H192" s="7">
        <v>0</v>
      </c>
      <c r="I192" s="7">
        <v>370</v>
      </c>
      <c r="J192" s="7" t="s">
        <v>171</v>
      </c>
      <c r="K192" s="7" t="s">
        <v>8</v>
      </c>
      <c r="L192" s="11" t="str">
        <f>CONCATENATE("""",B192,""", ")</f>
        <v xml:space="preserve">"MIDI CC Set  ", </v>
      </c>
      <c r="M192" s="11" t="str">
        <f>IF(K192="NULL",CONCATENATE(K192,", "),CONCATENATE("&amp;",K192,", "))</f>
        <v xml:space="preserve">NULL, </v>
      </c>
      <c r="N192" s="11" t="str">
        <f>IF(J192="NULL",CONCATENATE(J192,", "),CONCATENATE("tm_",J192,", "))</f>
        <v xml:space="preserve">tm_midicc, </v>
      </c>
      <c r="O192" s="10" t="str">
        <f>CONCATENATE("  {",L192,C192,", ",D192,", ",I192,", ",M192,N192,F192,", ",G192,", ",H192,"},  // Idx ", A192)</f>
        <v xml:space="preserve">  {"MIDI CC Set  ", -1, -1, 370, NULL, tm_midicc, 0, 10, 0},  // Idx 190</v>
      </c>
    </row>
    <row r="193" spans="1:15" s="6" customFormat="1" x14ac:dyDescent="0.25">
      <c r="A193" s="16">
        <f t="shared" si="19"/>
        <v>191</v>
      </c>
      <c r="B193" s="35" t="s">
        <v>34</v>
      </c>
      <c r="C193" s="13">
        <v>-1</v>
      </c>
      <c r="D193" s="13">
        <v>-1</v>
      </c>
      <c r="E193" s="13"/>
      <c r="F193" s="7">
        <v>0</v>
      </c>
      <c r="G193" s="7">
        <v>127</v>
      </c>
      <c r="H193" s="7">
        <v>0</v>
      </c>
      <c r="I193" s="7">
        <v>371</v>
      </c>
      <c r="J193" s="7" t="s">
        <v>26</v>
      </c>
      <c r="K193" s="7" t="s">
        <v>8</v>
      </c>
      <c r="L193" s="11" t="str">
        <f>CONCATENATE("""",B193,""", ")</f>
        <v xml:space="preserve">"MIDI Swell CC", </v>
      </c>
      <c r="M193" s="11" t="str">
        <f>IF(K193="NULL",CONCATENATE(K193,", "),CONCATENATE("&amp;",K193,", "))</f>
        <v xml:space="preserve">NULL, </v>
      </c>
      <c r="N193" s="11" t="str">
        <f>IF(J193="NULL",CONCATENATE(J193,", "),CONCATENATE("tm_",J193,", "))</f>
        <v xml:space="preserve">tm_numeric, </v>
      </c>
      <c r="O193" s="10" t="str">
        <f>CONCATENATE("  {",L193,C193,", ",D193,", ",I193,", ",M193,N193,F193,", ",G193,", ",H193,"},  // Idx ", A193)</f>
        <v xml:space="preserve">  {"MIDI Swell CC", -1, -1, 371, NULL, tm_numeric, 0, 127, 0},  // Idx 191</v>
      </c>
    </row>
    <row r="194" spans="1:15" s="6" customFormat="1" x14ac:dyDescent="0.25">
      <c r="A194" s="16">
        <f t="shared" si="19"/>
        <v>192</v>
      </c>
      <c r="B194" s="35" t="s">
        <v>35</v>
      </c>
      <c r="C194" s="13">
        <v>-1</v>
      </c>
      <c r="D194" s="13">
        <v>-1</v>
      </c>
      <c r="E194" s="13"/>
      <c r="F194" s="7">
        <v>0</v>
      </c>
      <c r="G194" s="7">
        <v>127</v>
      </c>
      <c r="H194" s="7">
        <v>0</v>
      </c>
      <c r="I194" s="7">
        <v>372</v>
      </c>
      <c r="J194" s="7" t="s">
        <v>26</v>
      </c>
      <c r="K194" s="7" t="s">
        <v>8</v>
      </c>
      <c r="L194" s="11" t="str">
        <f>CONCATENATE("""",B194,""", ")</f>
        <v xml:space="preserve">"MIDI VolumeCC", </v>
      </c>
      <c r="M194" s="11" t="str">
        <f>IF(K194="NULL",CONCATENATE(K194,", "),CONCATENATE("&amp;",K194,", "))</f>
        <v xml:space="preserve">NULL, </v>
      </c>
      <c r="N194" s="11" t="str">
        <f>IF(J194="NULL",CONCATENATE(J194,", "),CONCATENATE("tm_",J194,", "))</f>
        <v xml:space="preserve">tm_numeric, </v>
      </c>
      <c r="O194" s="10" t="str">
        <f>CONCATENATE("  {",L194,C194,", ",D194,", ",I194,", ",M194,N194,F194,", ",G194,", ",H194,"},  // Idx ", A194)</f>
        <v xml:space="preserve">  {"MIDI VolumeCC", -1, -1, 372, NULL, tm_numeric, 0, 127, 0},  // Idx 192</v>
      </c>
    </row>
    <row r="195" spans="1:15" s="6" customFormat="1" x14ac:dyDescent="0.25">
      <c r="A195" s="16">
        <f t="shared" si="19"/>
        <v>193</v>
      </c>
      <c r="B195" s="35" t="s">
        <v>36</v>
      </c>
      <c r="C195" s="13">
        <v>-1</v>
      </c>
      <c r="D195" s="13">
        <v>-1</v>
      </c>
      <c r="E195" s="13"/>
      <c r="F195" s="7">
        <v>0</v>
      </c>
      <c r="G195" s="7">
        <v>127</v>
      </c>
      <c r="H195" s="7">
        <v>0</v>
      </c>
      <c r="I195" s="7">
        <v>374</v>
      </c>
      <c r="J195" s="7" t="s">
        <v>26</v>
      </c>
      <c r="K195" s="7" t="s">
        <v>8</v>
      </c>
      <c r="L195" s="11" t="str">
        <f>CONCATENATE("""",B195,""", ")</f>
        <v xml:space="preserve">"MIDI PresetCC", </v>
      </c>
      <c r="M195" s="11" t="str">
        <f>IF(K195="NULL",CONCATENATE(K195,", "),CONCATENATE("&amp;",K195,", "))</f>
        <v xml:space="preserve">NULL, </v>
      </c>
      <c r="N195" s="11" t="str">
        <f>IF(J195="NULL",CONCATENATE(J195,", "),CONCATENATE("tm_",J195,", "))</f>
        <v xml:space="preserve">tm_numeric, </v>
      </c>
      <c r="O195" s="10" t="str">
        <f>CONCATENATE("  {",L195,C195,", ",D195,", ",I195,", ",M195,N195,F195,", ",G195,", ",H195,"},  // Idx ", A195)</f>
        <v xml:space="preserve">  {"MIDI PresetCC", -1, -1, 374, NULL, tm_numeric, 0, 127, 0},  // Idx 193</v>
      </c>
    </row>
    <row r="196" spans="1:15" s="6" customFormat="1" x14ac:dyDescent="0.25">
      <c r="A196" s="16">
        <f t="shared" si="19"/>
        <v>194</v>
      </c>
      <c r="B196" s="35" t="s">
        <v>37</v>
      </c>
      <c r="C196" s="13">
        <v>-1</v>
      </c>
      <c r="D196" s="13">
        <v>-1</v>
      </c>
      <c r="E196" s="13"/>
      <c r="F196" s="7">
        <v>0</v>
      </c>
      <c r="G196" s="7">
        <v>127</v>
      </c>
      <c r="H196" s="7">
        <v>0</v>
      </c>
      <c r="I196" s="7">
        <v>373</v>
      </c>
      <c r="J196" s="7" t="s">
        <v>26</v>
      </c>
      <c r="K196" s="7" t="s">
        <v>8</v>
      </c>
      <c r="L196" s="11" t="str">
        <f>CONCATENATE("""",B196,""", ")</f>
        <v xml:space="preserve">"MIDI Send    ", </v>
      </c>
      <c r="M196" s="11" t="str">
        <f>IF(K196="NULL",CONCATENATE(K196,", "),CONCATENATE("&amp;",K196,", "))</f>
        <v xml:space="preserve">NULL, </v>
      </c>
      <c r="N196" s="11" t="str">
        <f>IF(J196="NULL",CONCATENATE(J196,", "),CONCATENATE("tm_",J196,", "))</f>
        <v xml:space="preserve">tm_numeric, </v>
      </c>
      <c r="O196" s="10" t="str">
        <f>CONCATENATE("  {",L196,C196,", ",D196,", ",I196,", ",M196,N196,F196,", ",G196,", ",H196,"},  // Idx ", A196)</f>
        <v xml:space="preserve">  {"MIDI Send    ", -1, -1, 373, NULL, tm_numeric, 0, 127, 0},  // Idx 194</v>
      </c>
    </row>
    <row r="197" spans="1:15" s="6" customFormat="1" x14ac:dyDescent="0.25">
      <c r="A197" s="16">
        <f t="shared" si="19"/>
        <v>195</v>
      </c>
      <c r="B197" s="35" t="s">
        <v>38</v>
      </c>
      <c r="C197" s="13">
        <v>-1</v>
      </c>
      <c r="D197" s="13">
        <v>-1</v>
      </c>
      <c r="E197" s="13"/>
      <c r="F197" s="7">
        <v>0</v>
      </c>
      <c r="G197" s="7">
        <v>127</v>
      </c>
      <c r="H197" s="7">
        <v>0</v>
      </c>
      <c r="I197" s="7">
        <v>143</v>
      </c>
      <c r="J197" s="7" t="s">
        <v>26</v>
      </c>
      <c r="K197" s="7" t="s">
        <v>8</v>
      </c>
      <c r="L197" s="11" t="str">
        <f>CONCATENATE("""",B197,""", ")</f>
        <v xml:space="preserve">"Split Keyb   ", </v>
      </c>
      <c r="M197" s="11" t="str">
        <f>IF(K197="NULL",CONCATENATE(K197,", "),CONCATENATE("&amp;",K197,", "))</f>
        <v xml:space="preserve">NULL, </v>
      </c>
      <c r="N197" s="11" t="str">
        <f>IF(J197="NULL",CONCATENATE(J197,", "),CONCATENATE("tm_",J197,", "))</f>
        <v xml:space="preserve">tm_numeric, </v>
      </c>
      <c r="O197" s="10" t="str">
        <f>CONCATENATE("  {",L197,C197,", ",D197,", ",I197,", ",M197,N197,F197,", ",G197,", ",H197,"},  // Idx ", A197)</f>
        <v xml:space="preserve">  {"Split Keyb   ", -1, -1, 143, NULL, tm_numeric, 0, 127, 0},  // Idx 195</v>
      </c>
    </row>
    <row r="198" spans="1:15" s="6" customFormat="1" x14ac:dyDescent="0.25">
      <c r="A198" s="16">
        <f t="shared" si="19"/>
        <v>196</v>
      </c>
      <c r="B198" s="35" t="s">
        <v>39</v>
      </c>
      <c r="C198" s="13">
        <v>-1</v>
      </c>
      <c r="D198" s="13">
        <v>-1</v>
      </c>
      <c r="E198" s="13"/>
      <c r="F198" s="7">
        <v>0</v>
      </c>
      <c r="G198" s="7">
        <v>127</v>
      </c>
      <c r="H198" s="7">
        <v>0</v>
      </c>
      <c r="I198" s="7">
        <v>353</v>
      </c>
      <c r="J198" s="7" t="s">
        <v>26</v>
      </c>
      <c r="K198" s="7" t="s">
        <v>8</v>
      </c>
      <c r="L198" s="11" t="str">
        <f>CONCATENATE("""",B198,""", ")</f>
        <v xml:space="preserve">"Split Point  ", </v>
      </c>
      <c r="M198" s="11" t="str">
        <f>IF(K198="NULL",CONCATENATE(K198,", "),CONCATENATE("&amp;",K198,", "))</f>
        <v xml:space="preserve">NULL, </v>
      </c>
      <c r="N198" s="11" t="str">
        <f>IF(J198="NULL",CONCATENATE(J198,", "),CONCATENATE("tm_",J198,", "))</f>
        <v xml:space="preserve">tm_numeric, </v>
      </c>
      <c r="O198" s="10" t="str">
        <f>CONCATENATE("  {",L198,C198,", ",D198,", ",I198,", ",M198,N198,F198,", ",G198,", ",H198,"},  // Idx ", A198)</f>
        <v xml:space="preserve">  {"Split Point  ", -1, -1, 353, NULL, tm_numeric, 0, 127, 0},  // Idx 196</v>
      </c>
    </row>
    <row r="199" spans="1:15" s="6" customFormat="1" x14ac:dyDescent="0.25">
      <c r="A199" s="16">
        <f t="shared" si="19"/>
        <v>197</v>
      </c>
      <c r="B199" s="35" t="s">
        <v>40</v>
      </c>
      <c r="C199" s="13">
        <v>-1</v>
      </c>
      <c r="D199" s="13">
        <v>-1</v>
      </c>
      <c r="E199" s="13"/>
      <c r="F199" s="7">
        <v>0</v>
      </c>
      <c r="G199" s="7">
        <v>5</v>
      </c>
      <c r="H199" s="7">
        <v>0</v>
      </c>
      <c r="I199" s="7">
        <v>354</v>
      </c>
      <c r="J199" s="7" t="s">
        <v>26</v>
      </c>
      <c r="K199" s="7" t="s">
        <v>8</v>
      </c>
      <c r="L199" s="11" t="str">
        <f>CONCATENATE("""",B199,""", ")</f>
        <v xml:space="preserve">"Split Mode   ", </v>
      </c>
      <c r="M199" s="11" t="str">
        <f>IF(K199="NULL",CONCATENATE(K199,", "),CONCATENATE("&amp;",K199,", "))</f>
        <v xml:space="preserve">NULL, </v>
      </c>
      <c r="N199" s="11" t="str">
        <f>IF(J199="NULL",CONCATENATE(J199,", "),CONCATENATE("tm_",J199,", "))</f>
        <v xml:space="preserve">tm_numeric, </v>
      </c>
      <c r="O199" s="10" t="str">
        <f>CONCATENATE("  {",L199,C199,", ",D199,", ",I199,", ",M199,N199,F199,", ",G199,", ",H199,"},  // Idx ", A199)</f>
        <v xml:space="preserve">  {"Split Mode   ", -1, -1, 354, NULL, tm_numeric, 0, 5, 0},  // Idx 197</v>
      </c>
    </row>
    <row r="200" spans="1:15" s="6" customFormat="1" x14ac:dyDescent="0.25">
      <c r="A200" s="16">
        <f t="shared" si="19"/>
        <v>198</v>
      </c>
      <c r="B200" s="35" t="s">
        <v>41</v>
      </c>
      <c r="C200" s="13">
        <v>-1</v>
      </c>
      <c r="D200" s="13">
        <v>-1</v>
      </c>
      <c r="E200" s="13"/>
      <c r="F200" s="7">
        <v>0</v>
      </c>
      <c r="G200" s="7">
        <v>127</v>
      </c>
      <c r="H200" s="7">
        <v>0</v>
      </c>
      <c r="I200" s="7">
        <v>376</v>
      </c>
      <c r="J200" s="7" t="s">
        <v>26</v>
      </c>
      <c r="K200" s="7" t="s">
        <v>8</v>
      </c>
      <c r="L200" s="11" t="str">
        <f>CONCATENATE("""",B200,""", ")</f>
        <v xml:space="preserve">"No ProgChgRcv", </v>
      </c>
      <c r="M200" s="11" t="str">
        <f>IF(K200="NULL",CONCATENATE(K200,", "),CONCATENATE("&amp;",K200,", "))</f>
        <v xml:space="preserve">NULL, </v>
      </c>
      <c r="N200" s="11" t="str">
        <f>IF(J200="NULL",CONCATENATE(J200,", "),CONCATENATE("tm_",J200,", "))</f>
        <v xml:space="preserve">tm_numeric, </v>
      </c>
      <c r="O200" s="10" t="str">
        <f>CONCATENATE("  {",L200,C200,", ",D200,", ",I200,", ",M200,N200,F200,", ",G200,", ",H200,"},  // Idx ", A200)</f>
        <v xml:space="preserve">  {"No ProgChgRcv", -1, -1, 376, NULL, tm_numeric, 0, 127, 0},  // Idx 198</v>
      </c>
    </row>
    <row r="201" spans="1:15" x14ac:dyDescent="0.25">
      <c r="A201" s="16">
        <f t="shared" ref="A201:A204" si="28">A200+1</f>
        <v>199</v>
      </c>
      <c r="B201" s="34" t="s">
        <v>179</v>
      </c>
      <c r="C201" s="13">
        <v>-1</v>
      </c>
      <c r="D201" s="13">
        <v>-1</v>
      </c>
      <c r="E201" s="13"/>
      <c r="F201" s="7">
        <v>0</v>
      </c>
      <c r="G201" s="7">
        <v>1</v>
      </c>
      <c r="H201" s="7">
        <v>0</v>
      </c>
      <c r="I201" s="18">
        <v>-1</v>
      </c>
      <c r="J201" s="7" t="s">
        <v>46</v>
      </c>
      <c r="K201" s="7" t="s">
        <v>180</v>
      </c>
      <c r="L201" s="11" t="str">
        <f>CONCATENATE("""",B201,""", ")</f>
        <v xml:space="preserve">"Preset Name  ", </v>
      </c>
      <c r="M201" s="11" t="str">
        <f>IF(K201="NULL",CONCATENATE(K201,", "),CONCATENATE("&amp;",K201,", "))</f>
        <v xml:space="preserve">&amp;enterPresetName, </v>
      </c>
      <c r="N201" s="11" t="str">
        <f>IF(J201="NULL",CONCATENATE(J201,", "),CONCATENATE("tm_",J201,", "))</f>
        <v xml:space="preserve">tm_button, </v>
      </c>
      <c r="O201" s="10" t="str">
        <f>CONCATENATE("  {",L201,C201,", ",D201,", ",I201,", ",M201,N201,F201,", ",G201,", ",H201,"},  // Idx ", A201)</f>
        <v xml:space="preserve">  {"Preset Name  ", -1, -1, -1, &amp;enterPresetName, tm_button, 0, 1, 0},  // Idx 199</v>
      </c>
    </row>
    <row r="202" spans="1:15" x14ac:dyDescent="0.25">
      <c r="A202" s="16">
        <f t="shared" si="28"/>
        <v>200</v>
      </c>
      <c r="B202" s="34" t="s">
        <v>32</v>
      </c>
      <c r="C202" s="13">
        <v>-1</v>
      </c>
      <c r="D202" s="13">
        <v>-1</v>
      </c>
      <c r="E202" s="13"/>
      <c r="F202" s="7">
        <v>0</v>
      </c>
      <c r="G202" s="7">
        <v>1</v>
      </c>
      <c r="H202" s="7">
        <v>0</v>
      </c>
      <c r="I202" s="18">
        <v>-1</v>
      </c>
      <c r="J202" s="7" t="s">
        <v>46</v>
      </c>
      <c r="K202" s="7" t="s">
        <v>8</v>
      </c>
      <c r="L202" s="11" t="str">
        <f>CONCATENATE("""",B202,""", ")</f>
        <v xml:space="preserve">"Preset Init  ", </v>
      </c>
      <c r="M202" s="11" t="str">
        <f>IF(K202="NULL",CONCATENATE(K202,", "),CONCATENATE("&amp;",K202,", "))</f>
        <v xml:space="preserve">NULL, </v>
      </c>
      <c r="N202" s="11" t="str">
        <f>IF(J202="NULL",CONCATENATE(J202,", "),CONCATENATE("tm_",J202,", "))</f>
        <v xml:space="preserve">tm_button, </v>
      </c>
      <c r="O202" s="10" t="str">
        <f>CONCATENATE("  {",L202,C202,", ",D202,", ",I202,", ",M202,N202,F202,", ",G202,", ",H202,"},  // Idx ", A202)</f>
        <v xml:space="preserve">  {"Preset Init  ", -1, -1, -1, NULL, tm_button, 0, 1, 0},  // Idx 200</v>
      </c>
    </row>
    <row r="203" spans="1:15" x14ac:dyDescent="0.25">
      <c r="A203" s="16">
        <f t="shared" si="28"/>
        <v>201</v>
      </c>
      <c r="B203" s="34" t="s">
        <v>30</v>
      </c>
      <c r="C203" s="13">
        <v>-1</v>
      </c>
      <c r="D203" s="13">
        <v>-1</v>
      </c>
      <c r="E203" s="13"/>
      <c r="F203" s="7">
        <v>0</v>
      </c>
      <c r="G203" s="7">
        <v>15</v>
      </c>
      <c r="H203" s="7">
        <v>0</v>
      </c>
      <c r="I203" s="7">
        <v>495</v>
      </c>
      <c r="J203" s="7" t="s">
        <v>146</v>
      </c>
      <c r="K203" s="7" t="s">
        <v>8</v>
      </c>
      <c r="L203" s="11" t="str">
        <f>CONCATENATE("""",B203,""", ")</f>
        <v xml:space="preserve">"LED Dimmer   ", </v>
      </c>
      <c r="M203" s="11" t="str">
        <f>IF(K203="NULL",CONCATENATE(K203,", "),CONCATENATE("&amp;",K203,", "))</f>
        <v xml:space="preserve">NULL, </v>
      </c>
      <c r="N203" s="11" t="str">
        <f>IF(J203="NULL",CONCATENATE(J203,", "),CONCATENATE("tm_",J203,", "))</f>
        <v xml:space="preserve">tm_pot, </v>
      </c>
      <c r="O203" s="10" t="str">
        <f>CONCATENATE("  {",L203,C203,", ",D203,", ",I203,", ",M203,N203,F203,", ",G203,", ",H203,"},  // Idx ", A203)</f>
        <v xml:space="preserve">  {"LED Dimmer   ", -1, -1, 495, NULL, tm_pot, 0, 15, 0},  // Idx 201</v>
      </c>
    </row>
    <row r="204" spans="1:15" x14ac:dyDescent="0.25">
      <c r="A204" s="16">
        <f t="shared" si="28"/>
        <v>202</v>
      </c>
      <c r="B204" s="34" t="s">
        <v>31</v>
      </c>
      <c r="C204" s="13">
        <v>-1</v>
      </c>
      <c r="D204" s="13">
        <v>-1</v>
      </c>
      <c r="E204" s="13"/>
      <c r="F204" s="7">
        <v>0</v>
      </c>
      <c r="G204" s="7">
        <v>1</v>
      </c>
      <c r="H204" s="7">
        <v>0</v>
      </c>
      <c r="I204" s="18">
        <v>-1</v>
      </c>
      <c r="J204" s="7" t="s">
        <v>46</v>
      </c>
      <c r="K204" s="7" t="s">
        <v>178</v>
      </c>
      <c r="L204" s="11" t="str">
        <f>CONCATENATE("""",B204,""", ")</f>
        <v xml:space="preserve">"Bootld Update", </v>
      </c>
      <c r="M204" s="11" t="str">
        <f>IF(K204="NULL",CONCATENATE(K204,", "),CONCATENATE("&amp;",K204,", "))</f>
        <v xml:space="preserve">&amp;enterBootloader, </v>
      </c>
      <c r="N204" s="11" t="str">
        <f>IF(J204="NULL",CONCATENATE(J204,", "),CONCATENATE("tm_",J204,", "))</f>
        <v xml:space="preserve">tm_button, </v>
      </c>
      <c r="O204" s="10" t="str">
        <f>CONCATENATE("  {",L204,C204,", ",D204,", ",I204,", ",M204,N204,F204,", ",G204,", ",H204,"},  // Idx ", A204)</f>
        <v xml:space="preserve">  {"Bootld Update", -1, -1, -1, &amp;enterBootloader, tm_button, 0, 1, 0},  // Idx 202</v>
      </c>
    </row>
    <row r="205" spans="1:15" s="2" customFormat="1" x14ac:dyDescent="0.25">
      <c r="A205" s="16">
        <f t="shared" ref="A205" si="29">A204+1</f>
        <v>203</v>
      </c>
      <c r="B205" s="34" t="s">
        <v>167</v>
      </c>
      <c r="C205" s="13">
        <v>-1</v>
      </c>
      <c r="D205" s="13">
        <v>-1</v>
      </c>
      <c r="E205" s="13"/>
      <c r="F205" s="2">
        <v>0</v>
      </c>
      <c r="G205" s="4">
        <v>2</v>
      </c>
      <c r="H205" s="7">
        <v>0</v>
      </c>
      <c r="I205" s="18">
        <v>496</v>
      </c>
      <c r="J205" s="7" t="s">
        <v>168</v>
      </c>
      <c r="K205" s="7" t="s">
        <v>169</v>
      </c>
      <c r="L205" s="11" t="str">
        <f>CONCATENATE("""",B205,""", ")</f>
        <v xml:space="preserve">"WiFi Mode", </v>
      </c>
      <c r="M205" s="11" t="str">
        <f>IF(K205="NULL",CONCATENATE(K205,", "),CONCATENATE("&amp;",K205,", "))</f>
        <v xml:space="preserve">&amp;saveWifi, </v>
      </c>
      <c r="N205" s="11" t="str">
        <f>IF(J205="NULL",CONCATENATE(J205,", "),CONCATENATE("tm_",J205,", "))</f>
        <v xml:space="preserve">tm_wifimode, </v>
      </c>
      <c r="O205" s="10" t="str">
        <f>CONCATENATE("  {",L205,C205,", ",D205,", ",I205,", ",M205,N205,F205,", ",G205,", ",H205,"},  // Idx ", A205)</f>
        <v xml:space="preserve">  {"WiFi Mode", -1, -1, 496, &amp;saveWifi, tm_wifimode, 0, 2, 0},  // Idx 203</v>
      </c>
    </row>
    <row r="206" spans="1:15" x14ac:dyDescent="0.25">
      <c r="A206" s="19">
        <f>A205+1</f>
        <v>204</v>
      </c>
      <c r="C206" s="17"/>
      <c r="D206" s="17"/>
      <c r="E206" s="17"/>
      <c r="F206" s="19"/>
      <c r="G206" s="19"/>
      <c r="H206" s="19"/>
      <c r="I206" s="19"/>
      <c r="O206" s="7" t="s">
        <v>2</v>
      </c>
    </row>
  </sheetData>
  <pageMargins left="0.7" right="0.7" top="0.78740157499999996" bottom="0.78740157499999996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HX3 WIFI Controller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Carsten Meyer</dc:creator>
  <cp:lastModifiedBy>Carsten</cp:lastModifiedBy>
  <dcterms:created xsi:type="dcterms:W3CDTF">2026-02-08T08:40:39Z</dcterms:created>
  <dcterms:modified xsi:type="dcterms:W3CDTF">2026-05-13T18:02:06Z</dcterms:modified>
</cp:coreProperties>
</file>