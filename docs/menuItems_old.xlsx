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PlatformIO\Projects\hx3_esp32\docs\"/>
    </mc:Choice>
  </mc:AlternateContent>
  <bookViews>
    <workbookView xWindow="360" yWindow="60" windowWidth="30915" windowHeight="16425"/>
  </bookViews>
  <sheets>
    <sheet name="FPGA Loader" sheetId="1" r:id="rId1"/>
    <sheet name="HX3 Framework" sheetId="4" r:id="rId2"/>
    <sheet name="Baudrate" sheetId="5" r:id="rId3"/>
  </sheets>
  <calcPr calcId="162913"/>
</workbook>
</file>

<file path=xl/calcChain.xml><?xml version="1.0" encoding="utf-8"?>
<calcChain xmlns="http://schemas.openxmlformats.org/spreadsheetml/2006/main">
  <c r="A14" i="1" l="1"/>
  <c r="J14" i="1"/>
  <c r="K14" i="1"/>
  <c r="L14" i="1"/>
  <c r="M14" i="1"/>
  <c r="O14" i="1"/>
  <c r="N15" i="1"/>
  <c r="G2" i="1"/>
  <c r="L10" i="1"/>
  <c r="M10" i="1"/>
  <c r="O10" i="1"/>
  <c r="L11" i="1"/>
  <c r="M11" i="1"/>
  <c r="O11" i="1"/>
  <c r="J11" i="1"/>
  <c r="J10" i="1"/>
  <c r="N14" i="1" l="1"/>
  <c r="B3" i="5" l="1"/>
  <c r="B4" i="5" s="1"/>
  <c r="B5" i="5" s="1"/>
  <c r="B6" i="5" s="1"/>
  <c r="J13" i="1" l="1"/>
  <c r="L13" i="1"/>
  <c r="M13" i="1"/>
  <c r="O13" i="1"/>
  <c r="M3" i="1"/>
  <c r="M4" i="1"/>
  <c r="M5" i="1"/>
  <c r="M6" i="1"/>
  <c r="M7" i="1"/>
  <c r="M8" i="1"/>
  <c r="M9" i="1"/>
  <c r="M12" i="1"/>
  <c r="M15" i="1"/>
  <c r="M2" i="1"/>
  <c r="J6" i="1"/>
  <c r="L6" i="1"/>
  <c r="O6" i="1"/>
  <c r="J7" i="1"/>
  <c r="L7" i="1"/>
  <c r="O7" i="1"/>
  <c r="J8" i="1"/>
  <c r="L8" i="1"/>
  <c r="O8" i="1"/>
  <c r="J9" i="1"/>
  <c r="L9" i="1"/>
  <c r="O9" i="1"/>
  <c r="O5" i="1" l="1"/>
  <c r="J5" i="1"/>
  <c r="L5" i="1"/>
  <c r="J3" i="1" l="1"/>
  <c r="L3" i="1"/>
  <c r="J4" i="1"/>
  <c r="L4" i="1"/>
  <c r="J12" i="1"/>
  <c r="L12" i="1"/>
  <c r="J15" i="1"/>
  <c r="K15" i="1"/>
  <c r="L15" i="1"/>
  <c r="K2" i="1"/>
  <c r="N2" i="1" s="1"/>
  <c r="O15" i="1"/>
  <c r="O3" i="1"/>
  <c r="O4" i="1"/>
  <c r="O12" i="1"/>
  <c r="O2" i="1"/>
  <c r="L2" i="1"/>
  <c r="J2" i="1"/>
  <c r="A54" i="4"/>
  <c r="H49" i="4"/>
  <c r="I49" i="4"/>
  <c r="K49" i="4" s="1"/>
  <c r="J49" i="4"/>
  <c r="A49" i="4"/>
  <c r="A50" i="4"/>
  <c r="H44" i="4"/>
  <c r="K44" i="4" s="1"/>
  <c r="I44" i="4"/>
  <c r="J44" i="4"/>
  <c r="H36" i="4"/>
  <c r="I36" i="4"/>
  <c r="K36" i="4" s="1"/>
  <c r="J36" i="4"/>
  <c r="H33" i="4"/>
  <c r="I33" i="4"/>
  <c r="K33" i="4" s="1"/>
  <c r="J33" i="4"/>
  <c r="H23" i="4"/>
  <c r="I23" i="4"/>
  <c r="J23" i="4"/>
  <c r="H53" i="4"/>
  <c r="I53" i="4"/>
  <c r="J53" i="4"/>
  <c r="L2" i="4"/>
  <c r="L3" i="4"/>
  <c r="L4" i="4"/>
  <c r="L5" i="4"/>
  <c r="L6" i="4"/>
  <c r="L7" i="4"/>
  <c r="L8" i="4"/>
  <c r="L9" i="4"/>
  <c r="L10" i="4"/>
  <c r="L11" i="4"/>
  <c r="L12" i="4"/>
  <c r="L1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4" i="4"/>
  <c r="J25" i="4"/>
  <c r="J26" i="4"/>
  <c r="J27" i="4"/>
  <c r="J28" i="4"/>
  <c r="J29" i="4"/>
  <c r="J30" i="4"/>
  <c r="J31" i="4"/>
  <c r="J32" i="4"/>
  <c r="J34" i="4"/>
  <c r="J35" i="4"/>
  <c r="J37" i="4"/>
  <c r="J38" i="4"/>
  <c r="J39" i="4"/>
  <c r="J40" i="4"/>
  <c r="J41" i="4"/>
  <c r="J42" i="4"/>
  <c r="J43" i="4"/>
  <c r="J45" i="4"/>
  <c r="J46" i="4"/>
  <c r="J47" i="4"/>
  <c r="J48" i="4"/>
  <c r="J50" i="4"/>
  <c r="J51" i="4"/>
  <c r="J52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4" i="4"/>
  <c r="I25" i="4"/>
  <c r="I26" i="4"/>
  <c r="I27" i="4"/>
  <c r="I28" i="4"/>
  <c r="I29" i="4"/>
  <c r="I30" i="4"/>
  <c r="I31" i="4"/>
  <c r="I32" i="4"/>
  <c r="I34" i="4"/>
  <c r="I35" i="4"/>
  <c r="I37" i="4"/>
  <c r="I38" i="4"/>
  <c r="I39" i="4"/>
  <c r="I40" i="4"/>
  <c r="I41" i="4"/>
  <c r="I42" i="4"/>
  <c r="I43" i="4"/>
  <c r="I45" i="4"/>
  <c r="I46" i="4"/>
  <c r="I47" i="4"/>
  <c r="I48" i="4"/>
  <c r="I50" i="4"/>
  <c r="I51" i="4"/>
  <c r="I52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4" i="4"/>
  <c r="H25" i="4"/>
  <c r="H26" i="4"/>
  <c r="H27" i="4"/>
  <c r="H28" i="4"/>
  <c r="H29" i="4"/>
  <c r="H30" i="4"/>
  <c r="H31" i="4"/>
  <c r="H32" i="4"/>
  <c r="H34" i="4"/>
  <c r="H35" i="4"/>
  <c r="H37" i="4"/>
  <c r="H38" i="4"/>
  <c r="H39" i="4"/>
  <c r="H40" i="4"/>
  <c r="H41" i="4"/>
  <c r="H42" i="4"/>
  <c r="H43" i="4"/>
  <c r="H45" i="4"/>
  <c r="H46" i="4"/>
  <c r="H47" i="4"/>
  <c r="H48" i="4"/>
  <c r="H50" i="4"/>
  <c r="H51" i="4"/>
  <c r="H52" i="4"/>
  <c r="H2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51" i="4" s="1"/>
  <c r="A52" i="4" s="1"/>
  <c r="A53" i="4" s="1"/>
  <c r="K23" i="4" l="1"/>
  <c r="K53" i="4"/>
  <c r="K20" i="4"/>
  <c r="K32" i="4"/>
  <c r="K19" i="4"/>
  <c r="K29" i="4"/>
  <c r="K42" i="4"/>
  <c r="K2" i="4"/>
  <c r="K15" i="4"/>
  <c r="K3" i="4"/>
  <c r="K41" i="4"/>
  <c r="K31" i="4"/>
  <c r="K43" i="4"/>
  <c r="K17" i="4"/>
  <c r="K5" i="4"/>
  <c r="K52" i="4"/>
  <c r="K39" i="4"/>
  <c r="K27" i="4"/>
  <c r="K30" i="4"/>
  <c r="K18" i="4"/>
  <c r="K26" i="4"/>
  <c r="K45" i="4"/>
  <c r="K40" i="4"/>
  <c r="K28" i="4"/>
  <c r="K16" i="4"/>
  <c r="K4" i="4"/>
  <c r="K14" i="4"/>
  <c r="K50" i="4"/>
  <c r="K25" i="4"/>
  <c r="K48" i="4"/>
  <c r="K24" i="4"/>
  <c r="K12" i="4"/>
  <c r="K51" i="4"/>
  <c r="K37" i="4"/>
  <c r="K13" i="4"/>
  <c r="K47" i="4"/>
  <c r="K35" i="4"/>
  <c r="K11" i="4"/>
  <c r="K38" i="4"/>
  <c r="K46" i="4"/>
  <c r="K34" i="4"/>
  <c r="K22" i="4"/>
  <c r="K10" i="4"/>
  <c r="K21" i="4"/>
  <c r="K9" i="4"/>
  <c r="K6" i="4"/>
  <c r="K8" i="4"/>
  <c r="K7" i="4"/>
  <c r="A3" i="1" l="1"/>
  <c r="G3" i="1" s="1"/>
  <c r="K3" i="1" l="1"/>
  <c r="N3" i="1" s="1"/>
  <c r="A4" i="1"/>
  <c r="G4" i="1" s="1"/>
  <c r="A5" i="1" l="1"/>
  <c r="G5" i="1" s="1"/>
  <c r="A6" i="1" l="1"/>
  <c r="G6" i="1" s="1"/>
  <c r="K5" i="1"/>
  <c r="N5" i="1" s="1"/>
  <c r="K4" i="1"/>
  <c r="N4" i="1" s="1"/>
  <c r="A7" i="1" l="1"/>
  <c r="G7" i="1" s="1"/>
  <c r="K6" i="1"/>
  <c r="N6" i="1" s="1"/>
  <c r="A8" i="1" l="1"/>
  <c r="K7" i="1"/>
  <c r="N7" i="1" s="1"/>
  <c r="A9" i="1" l="1"/>
  <c r="G8" i="1"/>
  <c r="K8" i="1" s="1"/>
  <c r="N8" i="1" s="1"/>
  <c r="G9" i="1" l="1"/>
  <c r="A10" i="1"/>
  <c r="K9" i="1"/>
  <c r="N9" i="1" s="1"/>
  <c r="A11" i="1" l="1"/>
  <c r="G10" i="1"/>
  <c r="K10" i="1" s="1"/>
  <c r="N10" i="1" s="1"/>
  <c r="A12" i="1" l="1"/>
  <c r="G11" i="1"/>
  <c r="K11" i="1" s="1"/>
  <c r="N11" i="1" s="1"/>
  <c r="A13" i="1" l="1"/>
  <c r="G12" i="1"/>
  <c r="K12" i="1" s="1"/>
  <c r="N12" i="1" s="1"/>
  <c r="G13" i="1" l="1"/>
  <c r="K13" i="1" s="1"/>
  <c r="N13" i="1" s="1"/>
  <c r="A15" i="1"/>
  <c r="A16" i="1" s="1"/>
  <c r="A20" i="1" s="1"/>
</calcChain>
</file>

<file path=xl/sharedStrings.xml><?xml version="1.0" encoding="utf-8"?>
<sst xmlns="http://schemas.openxmlformats.org/spreadsheetml/2006/main" count="328" uniqueCount="181">
  <si>
    <t>Index #</t>
  </si>
  <si>
    <t>Kbd Driver</t>
  </si>
  <si>
    <t>Velocity Min</t>
  </si>
  <si>
    <t>Velocity Slope</t>
  </si>
  <si>
    <t>Upper Base</t>
  </si>
  <si>
    <t>Lower Base</t>
  </si>
  <si>
    <t>Pedal Base</t>
  </si>
  <si>
    <t>enum {</t>
  </si>
  <si>
    <t>};</t>
  </si>
  <si>
    <t>MenuLink</t>
  </si>
  <si>
    <t>Min</t>
  </si>
  <si>
    <t>Max</t>
  </si>
  <si>
    <t>Default</t>
  </si>
  <si>
    <t>drv_custom</t>
  </si>
  <si>
    <t>Menu Entry String (max. 15 Chars)</t>
  </si>
  <si>
    <t>Velocity MaxAdj</t>
  </si>
  <si>
    <t>Keyboard</t>
  </si>
  <si>
    <t>Pitchwheel Pot</t>
  </si>
  <si>
    <t>Master Volume</t>
  </si>
  <si>
    <t>Amp Gain</t>
  </si>
  <si>
    <t>Upper DBs</t>
  </si>
  <si>
    <t>Lower DBs</t>
  </si>
  <si>
    <t>Pedal DBs</t>
  </si>
  <si>
    <t>Upper DB 16</t>
  </si>
  <si>
    <t>Upper DB 5 1/3</t>
  </si>
  <si>
    <t>Upper DB 8</t>
  </si>
  <si>
    <t>Upper DB 4</t>
  </si>
  <si>
    <t>Upper DB 2 2/3</t>
  </si>
  <si>
    <t>Upper DB 2</t>
  </si>
  <si>
    <t>Upper DB 1 3/5</t>
  </si>
  <si>
    <t>Upper DB 1 1/3</t>
  </si>
  <si>
    <t>Upper DB 1</t>
  </si>
  <si>
    <t>Lower DB 16</t>
  </si>
  <si>
    <t>Lower DB 5 1/3</t>
  </si>
  <si>
    <t>Lower DB 8</t>
  </si>
  <si>
    <t>Lower DB 4</t>
  </si>
  <si>
    <t>Lower DB 2 2/3</t>
  </si>
  <si>
    <t>Lower DB 2</t>
  </si>
  <si>
    <t>Lower DB 1 3/5</t>
  </si>
  <si>
    <t>Lower DB 1 1/3</t>
  </si>
  <si>
    <t>Lower DB 1</t>
  </si>
  <si>
    <t>Pedal DB 16</t>
  </si>
  <si>
    <t>Pedal DB 8</t>
  </si>
  <si>
    <t>End</t>
  </si>
  <si>
    <t>Upper DB</t>
  </si>
  <si>
    <t>Lower DB</t>
  </si>
  <si>
    <t>Pedal DB</t>
  </si>
  <si>
    <t>Load SD Scan</t>
  </si>
  <si>
    <t>Flash SD Scan</t>
  </si>
  <si>
    <t>Flash FPGA</t>
  </si>
  <si>
    <t>Reload FPGA</t>
  </si>
  <si>
    <t>Test</t>
  </si>
  <si>
    <t>Flash Other</t>
  </si>
  <si>
    <t>SD Flash Tools</t>
  </si>
  <si>
    <t>NULL</t>
  </si>
  <si>
    <t>Zuweisung Action-Routine (ohne Parameterübergabe!)</t>
  </si>
  <si>
    <t>fpga_send_upper_db</t>
  </si>
  <si>
    <t>fpga_send_lower_db</t>
  </si>
  <si>
    <t>loadScanDriver</t>
  </si>
  <si>
    <t>flashScanDriver</t>
  </si>
  <si>
    <t>flashFPGA</t>
  </si>
  <si>
    <t>flashOther</t>
  </si>
  <si>
    <t>organReset</t>
  </si>
  <si>
    <t>SD Card Info</t>
  </si>
  <si>
    <t>sdCardInfo</t>
  </si>
  <si>
    <t>Organ Model</t>
  </si>
  <si>
    <t>menuOrganModel</t>
  </si>
  <si>
    <t>Speaker Model</t>
  </si>
  <si>
    <t>menuSpeakerModel</t>
  </si>
  <si>
    <t>m_kbd_driver</t>
  </si>
  <si>
    <t>m_main_end</t>
  </si>
  <si>
    <t>Zuweisung Edit-Variable</t>
  </si>
  <si>
    <t>Swell Pedal</t>
  </si>
  <si>
    <t>preamp.masterVolume</t>
  </si>
  <si>
    <t>tabs.organModel</t>
  </si>
  <si>
    <t>drawbars.upper[0]</t>
  </si>
  <si>
    <t>tabs.speakerModel</t>
  </si>
  <si>
    <t>drawbars.upper[1]</t>
  </si>
  <si>
    <t>drawbars.upper[2]</t>
  </si>
  <si>
    <t>drawbars.upper[3]</t>
  </si>
  <si>
    <t>drawbars.upper[4]</t>
  </si>
  <si>
    <t>drawbars.upper[5]</t>
  </si>
  <si>
    <t>drawbars.upper[6]</t>
  </si>
  <si>
    <t>drawbars.upper[7]</t>
  </si>
  <si>
    <t>drawbars.upper[8]</t>
  </si>
  <si>
    <t>drawbars.lower[0]</t>
  </si>
  <si>
    <t>drawbars.lower[1]</t>
  </si>
  <si>
    <t>drawbars.lower[2]</t>
  </si>
  <si>
    <t>drawbars.lower[3]</t>
  </si>
  <si>
    <t>drawbars.lower[4]</t>
  </si>
  <si>
    <t>drawbars.lower[5]</t>
  </si>
  <si>
    <t>drawbars.lower[6]</t>
  </si>
  <si>
    <t>drawbars.lower[7]</t>
  </si>
  <si>
    <t>drawbars.lower[8]</t>
  </si>
  <si>
    <t>drawbars.pedal[0]</t>
  </si>
  <si>
    <t>drawbars.pedal[1]</t>
  </si>
  <si>
    <t>boardInfo.scan_driverIdx</t>
  </si>
  <si>
    <t>organModel.fatarVelocityFac</t>
  </si>
  <si>
    <t>midiSettings.channel</t>
  </si>
  <si>
    <t>Variablen-Pointer</t>
  </si>
  <si>
    <t>Action-Pointer</t>
  </si>
  <si>
    <t xml:space="preserve">const menuEntryType MenuItems[MENU_ITEMCOUNT] PROGMEM = { </t>
  </si>
  <si>
    <t>Menu-Text</t>
  </si>
  <si>
    <t>sendAmpVolume</t>
  </si>
  <si>
    <t>preamp.ampGain</t>
  </si>
  <si>
    <t>sendOrganVolumes</t>
  </si>
  <si>
    <t>m_upper_db</t>
  </si>
  <si>
    <t>m_lower_db</t>
  </si>
  <si>
    <t>m_pedal_db</t>
  </si>
  <si>
    <t>m_sd_card</t>
  </si>
  <si>
    <t>m_swell</t>
  </si>
  <si>
    <t>m_volume</t>
  </si>
  <si>
    <t>m_gain</t>
  </si>
  <si>
    <t>m_organ</t>
  </si>
  <si>
    <t>m_speaker</t>
  </si>
  <si>
    <t>m_pitchwheel</t>
  </si>
  <si>
    <t>}; // alle vorhandenen Menü-Links</t>
  </si>
  <si>
    <t>&lt;ENTER&gt; angezeigt, Action wird nach Bestätigung ausgeführt</t>
  </si>
  <si>
    <t>Enter oder Exit Submenu</t>
  </si>
  <si>
    <t>m_menuName</t>
  </si>
  <si>
    <t>Display-Text</t>
  </si>
  <si>
    <t>lfdNr.</t>
  </si>
  <si>
    <t>MIDI Channel</t>
  </si>
  <si>
    <t>preamp.swell127</t>
  </si>
  <si>
    <t>sendMIDIswell</t>
  </si>
  <si>
    <t>vor der Tabelle!</t>
  </si>
  <si>
    <t>MenuLink/Group</t>
  </si>
  <si>
    <t>Status 0</t>
  </si>
  <si>
    <t>Status 1</t>
  </si>
  <si>
    <t>Status 2</t>
  </si>
  <si>
    <t>FPGA Date</t>
  </si>
  <si>
    <t>m_status_0</t>
  </si>
  <si>
    <t>m_status_1</t>
  </si>
  <si>
    <t>m_status_2</t>
  </si>
  <si>
    <t>m_status_3</t>
  </si>
  <si>
    <t>Config File</t>
  </si>
  <si>
    <t>Set Reg 4</t>
  </si>
  <si>
    <t>m_reg_4</t>
  </si>
  <si>
    <t>Set Reg 5</t>
  </si>
  <si>
    <t>Set Reg 6</t>
  </si>
  <si>
    <t>Set Reg 7</t>
  </si>
  <si>
    <t>m_reg_5</t>
  </si>
  <si>
    <t>m_reg_6</t>
  </si>
  <si>
    <t>m_reg_7</t>
  </si>
  <si>
    <t>m_config_file</t>
  </si>
  <si>
    <t>#define MENU_CONFIGFILE 8</t>
  </si>
  <si>
    <t>displayFPGAreg</t>
  </si>
  <si>
    <t>setFPGAreg</t>
  </si>
  <si>
    <t>Zuweisung Enter-Routine</t>
  </si>
  <si>
    <t>&lt;SETTINGS&gt; oder &lt;EXIT&gt; angezeigt, Enter oder Exit Submenu</t>
  </si>
  <si>
    <t>selectConfigFile</t>
  </si>
  <si>
    <t>zeigt auf</t>
  </si>
  <si>
    <t>Variable</t>
  </si>
  <si>
    <t>zeigt auf Routine</t>
  </si>
  <si>
    <t>NULL wenn keine bzw. Standard-Routine</t>
  </si>
  <si>
    <t>SelectValue</t>
  </si>
  <si>
    <t>EnterValue</t>
  </si>
  <si>
    <t>enterConfigFile</t>
  </si>
  <si>
    <t>editValuePtr</t>
  </si>
  <si>
    <t>editAction</t>
  </si>
  <si>
    <t>enterAction</t>
  </si>
  <si>
    <t>selectPicoBlazeFile</t>
  </si>
  <si>
    <t>enterPicoBlazeFile</t>
  </si>
  <si>
    <t>PicoBlaze File</t>
  </si>
  <si>
    <t>m_picoblaze_file</t>
  </si>
  <si>
    <t>enterFPGAreg</t>
  </si>
  <si>
    <t>Fosc</t>
  </si>
  <si>
    <t>Baudrate</t>
  </si>
  <si>
    <t>Divider Val</t>
  </si>
  <si>
    <t>Dez.</t>
  </si>
  <si>
    <t>Hex.</t>
  </si>
  <si>
    <t>Baud x 16</t>
  </si>
  <si>
    <t>Switch 8</t>
  </si>
  <si>
    <t>Switch 9</t>
  </si>
  <si>
    <t>} menuConst;</t>
  </si>
  <si>
    <t>m_sw_0</t>
  </si>
  <si>
    <t>m_sw_1</t>
  </si>
  <si>
    <t>Exec Test</t>
  </si>
  <si>
    <t>m_exec_test</t>
  </si>
  <si>
    <t>enterExecTest</t>
  </si>
  <si>
    <t>Zuweisung Display-Routine (ohne Parameterübergabe!)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</si>
</sst>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Lucida Console"/>
      <family val="3"/>
    </font>
    <font>
      <sz val="10"/>
      <name val="Lucida Console"/>
      <family val="3"/>
    </font>
    <font>
      <sz val="10"/>
      <color rgb="FFFF0000"/>
      <name val="Lucida Console"/>
      <family val="3"/>
    </font>
    <font>
      <sz val="10"/>
      <name val="Arial"/>
      <family val="2"/>
    </font>
    <font>
      <b/>
      <sz val="10"/>
      <color indexed="10"/>
      <name val="Lucida Console"/>
      <family val="3"/>
    </font>
    <font>
      <b/>
      <sz val="10"/>
      <name val="Arial Narrow"/>
      <family val="2"/>
    </font>
    <font>
      <sz val="11"/>
      <name val="Consolas"/>
      <family val="3"/>
    </font>
    <font>
      <sz val="11"/>
      <name val="Calibri"/>
      <family val="2"/>
      <scheme val="minor"/>
    </font>
    <font>
      <sz val="10"/>
      <color theme="1" tint="0.499984740745262"/>
      <name val="Lucida Console"/>
      <family val="3"/>
    </font>
    <font>
      <b/>
      <sz val="11"/>
      <color rgb="FF00B0F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Arial Narrow"/>
      <family val="2"/>
    </font>
    <font>
      <b/>
      <sz val="1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rgb="FF0061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8" fillId="13" borderId="0" applyNumberFormat="0" applyBorder="0" applyAlignment="0" applyProtection="0"/>
  </cellStyleXfs>
  <cellXfs count="76">
    <xf numFmtId="0" fontId="0" fillId="0" borderId="0" xfId="0"/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5" fillId="0" borderId="0" xfId="0" applyFont="1" applyFill="1" applyAlignment="1">
      <alignment horizontal="left"/>
    </xf>
    <xf numFmtId="0" fontId="16" fillId="0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9" fillId="2" borderId="0" xfId="0" applyNumberFormat="1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11" fillId="0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10" fillId="0" borderId="0" xfId="0" applyFont="1" applyAlignment="1">
      <alignment vertical="center"/>
    </xf>
    <xf numFmtId="49" fontId="9" fillId="6" borderId="0" xfId="0" applyNumberFormat="1" applyFont="1" applyFill="1" applyAlignment="1">
      <alignment horizontal="left" vertical="top" wrapText="1"/>
    </xf>
    <xf numFmtId="0" fontId="11" fillId="0" borderId="0" xfId="0" applyFont="1" applyAlignment="1">
      <alignment vertical="center"/>
    </xf>
    <xf numFmtId="0" fontId="5" fillId="11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49" fontId="18" fillId="9" borderId="0" xfId="0" applyNumberFormat="1" applyFont="1" applyFill="1" applyAlignment="1">
      <alignment horizontal="left" vertical="top" wrapText="1"/>
    </xf>
    <xf numFmtId="0" fontId="12" fillId="9" borderId="0" xfId="0" applyFont="1" applyFill="1" applyAlignment="1">
      <alignment horizontal="left"/>
    </xf>
    <xf numFmtId="0" fontId="17" fillId="9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7" fillId="10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3" fillId="7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16" fillId="2" borderId="0" xfId="0" applyFont="1" applyFill="1" applyAlignment="1">
      <alignment horizontal="left" vertical="top"/>
    </xf>
    <xf numFmtId="0" fontId="0" fillId="8" borderId="0" xfId="0" applyFill="1" applyAlignment="1">
      <alignment horizontal="left"/>
    </xf>
    <xf numFmtId="49" fontId="19" fillId="0" borderId="0" xfId="0" applyNumberFormat="1" applyFont="1" applyFill="1" applyAlignment="1">
      <alignment horizontal="left" vertical="top"/>
    </xf>
    <xf numFmtId="0" fontId="20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13" fillId="0" borderId="0" xfId="0" applyFont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21" fillId="10" borderId="0" xfId="0" applyFont="1" applyFill="1" applyAlignment="1">
      <alignment horizontal="left"/>
    </xf>
    <xf numFmtId="0" fontId="22" fillId="0" borderId="0" xfId="0" applyFont="1" applyFill="1" applyAlignment="1">
      <alignment horizontal="left"/>
    </xf>
    <xf numFmtId="0" fontId="21" fillId="4" borderId="0" xfId="0" applyFont="1" applyFill="1" applyAlignment="1">
      <alignment horizontal="left"/>
    </xf>
    <xf numFmtId="0" fontId="21" fillId="5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21" fillId="7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23" fillId="0" borderId="0" xfId="0" quotePrefix="1" applyFont="1" applyAlignment="1">
      <alignment vertical="center"/>
    </xf>
    <xf numFmtId="0" fontId="19" fillId="0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Fill="1" applyAlignment="1">
      <alignment horizontal="left"/>
    </xf>
    <xf numFmtId="49" fontId="26" fillId="0" borderId="0" xfId="0" applyNumberFormat="1" applyFont="1" applyFill="1" applyAlignment="1">
      <alignment horizontal="left" vertical="top" wrapText="1"/>
    </xf>
    <xf numFmtId="0" fontId="27" fillId="0" borderId="0" xfId="0" applyFont="1" applyFill="1" applyAlignment="1">
      <alignment horizontal="left"/>
    </xf>
    <xf numFmtId="0" fontId="26" fillId="0" borderId="0" xfId="0" applyFont="1" applyFill="1" applyAlignment="1">
      <alignment horizontal="left"/>
    </xf>
    <xf numFmtId="0" fontId="10" fillId="4" borderId="0" xfId="0" applyFont="1" applyFill="1" applyAlignment="1">
      <alignment vertical="center"/>
    </xf>
    <xf numFmtId="0" fontId="0" fillId="12" borderId="0" xfId="0" applyFill="1" applyAlignment="1">
      <alignment horizontal="left"/>
    </xf>
    <xf numFmtId="0" fontId="5" fillId="12" borderId="0" xfId="0" applyFont="1" applyFill="1" applyAlignment="1">
      <alignment horizontal="left"/>
    </xf>
    <xf numFmtId="0" fontId="1" fillId="12" borderId="0" xfId="0" applyFont="1" applyFill="1" applyAlignment="1">
      <alignment horizontal="left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28" fillId="13" borderId="0" xfId="1" applyAlignment="1">
      <alignment horizontal="left" vertical="top"/>
    </xf>
    <xf numFmtId="0" fontId="28" fillId="13" borderId="0" xfId="1" applyAlignment="1">
      <alignment horizontal="left"/>
    </xf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zoomScaleNormal="100" workbookViewId="0">
      <selection activeCell="H2" sqref="H2"/>
    </sheetView>
  </sheetViews>
  <sheetFormatPr baseColWidth="10" defaultRowHeight="15" x14ac:dyDescent="0.25"/>
  <cols>
    <col min="1" max="1" width="8.140625" style="3" customWidth="1"/>
    <col min="2" max="2" width="16.7109375" style="1" customWidth="1"/>
    <col min="3" max="3" width="14.7109375" style="15" customWidth="1"/>
    <col min="4" max="4" width="6.85546875" style="15" customWidth="1"/>
    <col min="5" max="5" width="6.85546875" style="1" customWidth="1"/>
    <col min="6" max="6" width="6.85546875" style="15" customWidth="1"/>
    <col min="7" max="7" width="21.42578125" style="1" customWidth="1"/>
    <col min="8" max="8" width="17.28515625" style="1" customWidth="1"/>
    <col min="9" max="9" width="17.28515625" style="15" customWidth="1"/>
    <col min="10" max="10" width="16" style="6" customWidth="1"/>
    <col min="11" max="11" width="12.28515625" style="6" customWidth="1"/>
    <col min="12" max="12" width="13.85546875" style="1" customWidth="1"/>
    <col min="13" max="13" width="12" style="15" customWidth="1"/>
    <col min="14" max="14" width="88.5703125" style="1" customWidth="1"/>
    <col min="15" max="15" width="31.5703125" style="6" customWidth="1"/>
    <col min="16" max="16384" width="11.42578125" style="6"/>
  </cols>
  <sheetData>
    <row r="1" spans="1:15" s="5" customFormat="1" ht="45.75" customHeight="1" x14ac:dyDescent="0.25">
      <c r="A1" s="4" t="s">
        <v>0</v>
      </c>
      <c r="B1" s="4" t="s">
        <v>14</v>
      </c>
      <c r="C1" s="48" t="s">
        <v>126</v>
      </c>
      <c r="D1" s="48" t="s">
        <v>10</v>
      </c>
      <c r="E1" s="48" t="s">
        <v>11</v>
      </c>
      <c r="F1" s="48" t="s">
        <v>12</v>
      </c>
      <c r="G1" s="31" t="s">
        <v>71</v>
      </c>
      <c r="H1" s="31" t="s">
        <v>180</v>
      </c>
      <c r="I1" s="31" t="s">
        <v>148</v>
      </c>
      <c r="J1" s="36" t="s">
        <v>102</v>
      </c>
      <c r="K1" s="36" t="s">
        <v>158</v>
      </c>
      <c r="L1" s="36" t="s">
        <v>159</v>
      </c>
      <c r="M1" s="36" t="s">
        <v>160</v>
      </c>
      <c r="N1" s="19" t="s">
        <v>101</v>
      </c>
      <c r="O1" s="46" t="s">
        <v>7</v>
      </c>
    </row>
    <row r="2" spans="1:15" x14ac:dyDescent="0.25">
      <c r="A2" s="2">
        <v>0</v>
      </c>
      <c r="B2" s="1" t="s">
        <v>127</v>
      </c>
      <c r="C2" s="12" t="s">
        <v>131</v>
      </c>
      <c r="D2" s="15">
        <v>0</v>
      </c>
      <c r="E2" s="15">
        <v>1</v>
      </c>
      <c r="F2" s="15">
        <v>0</v>
      </c>
      <c r="G2" s="24" t="str">
        <f>CONCATENATE("settings.menuValues[",A2,"]")</f>
        <v>settings.menuValues[0]</v>
      </c>
      <c r="H2" s="24" t="s">
        <v>146</v>
      </c>
      <c r="I2" s="24" t="s">
        <v>54</v>
      </c>
      <c r="J2" s="37" t="str">
        <f>CONCATENATE("""",B2,""", ")</f>
        <v xml:space="preserve">"Status 0", </v>
      </c>
      <c r="K2" s="38" t="str">
        <f>IF(G2="NULL",CONCATENATE(G2,", "),CONCATENATE("&amp;",G2,", "))</f>
        <v xml:space="preserve">&amp;settings.menuValues[0], </v>
      </c>
      <c r="L2" s="38" t="str">
        <f>IF(H2="NULL",CONCATENATE(H2,", "),CONCATENATE("&amp;",H2,", "))</f>
        <v xml:space="preserve">&amp;displayFPGAreg, </v>
      </c>
      <c r="M2" s="38" t="str">
        <f>IF(I2="NULL",CONCATENATE(I2,", "),CONCATENATE("&amp;",I2,", "))</f>
        <v xml:space="preserve">NULL, </v>
      </c>
      <c r="N2" s="34" t="str">
        <f>CONCATENATE("  {",J2,C2,", ",K2,L2,M2,D2,", ",E2,", ",F2,"},")</f>
        <v xml:space="preserve">  {"Status 0", m_status_0, &amp;settings.menuValues[0], &amp;displayFPGAreg, NULL, 0, 1, 0},</v>
      </c>
      <c r="O2" s="47" t="str">
        <f>CONCATENATE("  ",C2,",")</f>
        <v xml:space="preserve">  m_status_0,</v>
      </c>
    </row>
    <row r="3" spans="1:15" x14ac:dyDescent="0.25">
      <c r="A3" s="2">
        <f t="shared" ref="A3:A16" si="0">A2+1</f>
        <v>1</v>
      </c>
      <c r="B3" s="15" t="s">
        <v>128</v>
      </c>
      <c r="C3" s="12" t="s">
        <v>132</v>
      </c>
      <c r="D3" s="15">
        <v>0</v>
      </c>
      <c r="E3" s="15">
        <v>1</v>
      </c>
      <c r="F3" s="15">
        <v>0</v>
      </c>
      <c r="G3" s="24" t="str">
        <f t="shared" ref="G3:G13" si="1">CONCATENATE("settings.menuValues[",A3,"]")</f>
        <v>settings.menuValues[1]</v>
      </c>
      <c r="H3" s="24" t="s">
        <v>146</v>
      </c>
      <c r="I3" s="24" t="s">
        <v>54</v>
      </c>
      <c r="J3" s="37" t="str">
        <f>CONCATENATE("""",B3,""", ")</f>
        <v xml:space="preserve">"Status 1", </v>
      </c>
      <c r="K3" s="38" t="str">
        <f>IF(G3="NULL",CONCATENATE(G3,", "),CONCATENATE("&amp;",G3,", "))</f>
        <v xml:space="preserve">&amp;settings.menuValues[1], </v>
      </c>
      <c r="L3" s="38" t="str">
        <f>IF(H3="NULL",CONCATENATE(H3,", "),CONCATENATE("&amp;",H3,", "))</f>
        <v xml:space="preserve">&amp;displayFPGAreg, </v>
      </c>
      <c r="M3" s="38" t="str">
        <f t="shared" ref="M3:M15" si="2">IF(I3="NULL",CONCATENATE(I3,", "),CONCATENATE("&amp;",I3,", "))</f>
        <v xml:space="preserve">NULL, </v>
      </c>
      <c r="N3" s="34" t="str">
        <f t="shared" ref="N3:N15" si="3">CONCATENATE("  {",J3,C3,", ",K3,L3,M3,D3,", ",E3,", ",F3,"},")</f>
        <v xml:space="preserve">  {"Status 1", m_status_1, &amp;settings.menuValues[1], &amp;displayFPGAreg, NULL, 0, 1, 0},</v>
      </c>
      <c r="O3" s="47" t="str">
        <f>CONCATENATE("  ",C3,",")</f>
        <v xml:space="preserve">  m_status_1,</v>
      </c>
    </row>
    <row r="4" spans="1:15" x14ac:dyDescent="0.25">
      <c r="A4" s="16">
        <f t="shared" si="0"/>
        <v>2</v>
      </c>
      <c r="B4" s="15" t="s">
        <v>129</v>
      </c>
      <c r="C4" s="12" t="s">
        <v>133</v>
      </c>
      <c r="D4" s="15">
        <v>0</v>
      </c>
      <c r="E4" s="15">
        <v>1</v>
      </c>
      <c r="F4" s="15">
        <v>0</v>
      </c>
      <c r="G4" s="24" t="str">
        <f t="shared" si="1"/>
        <v>settings.menuValues[2]</v>
      </c>
      <c r="H4" s="24" t="s">
        <v>146</v>
      </c>
      <c r="I4" s="24" t="s">
        <v>54</v>
      </c>
      <c r="J4" s="37" t="str">
        <f>CONCATENATE("""",B4,""", ")</f>
        <v xml:space="preserve">"Status 2", </v>
      </c>
      <c r="K4" s="38" t="str">
        <f>IF(G4="NULL",CONCATENATE(G4,", "),CONCATENATE("&amp;",G4,", "))</f>
        <v xml:space="preserve">&amp;settings.menuValues[2], </v>
      </c>
      <c r="L4" s="38" t="str">
        <f>IF(H4="NULL",CONCATENATE(H4,", "),CONCATENATE("&amp;",H4,", "))</f>
        <v xml:space="preserve">&amp;displayFPGAreg, </v>
      </c>
      <c r="M4" s="38" t="str">
        <f t="shared" si="2"/>
        <v xml:space="preserve">NULL, </v>
      </c>
      <c r="N4" s="34" t="str">
        <f t="shared" si="3"/>
        <v xml:space="preserve">  {"Status 2", m_status_2, &amp;settings.menuValues[2], &amp;displayFPGAreg, NULL, 0, 1, 0},</v>
      </c>
      <c r="O4" s="47" t="str">
        <f>CONCATENATE("  ",C4,",")</f>
        <v xml:space="preserve">  m_status_2,</v>
      </c>
    </row>
    <row r="5" spans="1:15" s="20" customFormat="1" x14ac:dyDescent="0.25">
      <c r="A5" s="16">
        <f t="shared" si="0"/>
        <v>3</v>
      </c>
      <c r="B5" s="15" t="s">
        <v>130</v>
      </c>
      <c r="C5" s="12" t="s">
        <v>134</v>
      </c>
      <c r="D5" s="15">
        <v>0</v>
      </c>
      <c r="E5" s="15">
        <v>1</v>
      </c>
      <c r="F5" s="15">
        <v>0</v>
      </c>
      <c r="G5" s="24" t="str">
        <f t="shared" si="1"/>
        <v>settings.menuValues[3]</v>
      </c>
      <c r="H5" s="24" t="s">
        <v>146</v>
      </c>
      <c r="I5" s="24" t="s">
        <v>54</v>
      </c>
      <c r="J5" s="37" t="str">
        <f>CONCATENATE("""",B5,""", ")</f>
        <v xml:space="preserve">"FPGA Date", </v>
      </c>
      <c r="K5" s="38" t="str">
        <f t="shared" ref="K5" si="4">IF(G5="NULL",CONCATENATE(G5,", "),CONCATENATE("&amp;",G5,", "))</f>
        <v xml:space="preserve">&amp;settings.menuValues[3], </v>
      </c>
      <c r="L5" s="38" t="str">
        <f t="shared" ref="L5" si="5">IF(H5="NULL",CONCATENATE(H5,", "),CONCATENATE("&amp;",H5,", "))</f>
        <v xml:space="preserve">&amp;displayFPGAreg, </v>
      </c>
      <c r="M5" s="38" t="str">
        <f t="shared" si="2"/>
        <v xml:space="preserve">NULL, </v>
      </c>
      <c r="N5" s="34" t="str">
        <f t="shared" si="3"/>
        <v xml:space="preserve">  {"FPGA Date", m_status_3, &amp;settings.menuValues[3], &amp;displayFPGAreg, NULL, 0, 1, 0},</v>
      </c>
      <c r="O5" s="47" t="str">
        <f>CONCATENATE("  ",C5,",")</f>
        <v xml:space="preserve">  m_status_3,</v>
      </c>
    </row>
    <row r="6" spans="1:15" s="20" customFormat="1" x14ac:dyDescent="0.25">
      <c r="A6" s="16">
        <f t="shared" si="0"/>
        <v>4</v>
      </c>
      <c r="B6" s="15" t="s">
        <v>136</v>
      </c>
      <c r="C6" s="12" t="s">
        <v>137</v>
      </c>
      <c r="D6" s="15">
        <v>0</v>
      </c>
      <c r="E6" s="15">
        <v>99</v>
      </c>
      <c r="F6" s="15">
        <v>0</v>
      </c>
      <c r="G6" s="24" t="str">
        <f t="shared" si="1"/>
        <v>settings.menuValues[4]</v>
      </c>
      <c r="H6" s="24" t="s">
        <v>147</v>
      </c>
      <c r="I6" s="24" t="s">
        <v>165</v>
      </c>
      <c r="J6" s="37" t="str">
        <f t="shared" ref="J6:J11" si="6">CONCATENATE("""",B6,""", ")</f>
        <v xml:space="preserve">"Set Reg 4", </v>
      </c>
      <c r="K6" s="38" t="str">
        <f t="shared" ref="K6:K9" si="7">IF(G6="NULL",CONCATENATE(G6,", "),CONCATENATE("&amp;",G6,", "))</f>
        <v xml:space="preserve">&amp;settings.menuValues[4], </v>
      </c>
      <c r="L6" s="38" t="str">
        <f t="shared" ref="L6:L9" si="8">IF(H6="NULL",CONCATENATE(H6,", "),CONCATENATE("&amp;",H6,", "))</f>
        <v xml:space="preserve">&amp;setFPGAreg, </v>
      </c>
      <c r="M6" s="38" t="str">
        <f t="shared" si="2"/>
        <v xml:space="preserve">&amp;enterFPGAreg, </v>
      </c>
      <c r="N6" s="34" t="str">
        <f t="shared" si="3"/>
        <v xml:space="preserve">  {"Set Reg 4", m_reg_4, &amp;settings.menuValues[4], &amp;setFPGAreg, &amp;enterFPGAreg, 0, 99, 0},</v>
      </c>
      <c r="O6" s="47" t="str">
        <f t="shared" ref="O6:O9" si="9">CONCATENATE("  ",C6,",")</f>
        <v xml:space="preserve">  m_reg_4,</v>
      </c>
    </row>
    <row r="7" spans="1:15" s="20" customFormat="1" x14ac:dyDescent="0.25">
      <c r="A7" s="16">
        <f t="shared" si="0"/>
        <v>5</v>
      </c>
      <c r="B7" s="15" t="s">
        <v>138</v>
      </c>
      <c r="C7" s="12" t="s">
        <v>141</v>
      </c>
      <c r="D7" s="15">
        <v>0</v>
      </c>
      <c r="E7" s="15">
        <v>99</v>
      </c>
      <c r="F7" s="15">
        <v>0</v>
      </c>
      <c r="G7" s="24" t="str">
        <f t="shared" si="1"/>
        <v>settings.menuValues[5]</v>
      </c>
      <c r="H7" s="24" t="s">
        <v>147</v>
      </c>
      <c r="I7" s="24" t="s">
        <v>165</v>
      </c>
      <c r="J7" s="37" t="str">
        <f t="shared" si="6"/>
        <v xml:space="preserve">"Set Reg 5", </v>
      </c>
      <c r="K7" s="38" t="str">
        <f t="shared" si="7"/>
        <v xml:space="preserve">&amp;settings.menuValues[5], </v>
      </c>
      <c r="L7" s="38" t="str">
        <f t="shared" si="8"/>
        <v xml:space="preserve">&amp;setFPGAreg, </v>
      </c>
      <c r="M7" s="38" t="str">
        <f t="shared" si="2"/>
        <v xml:space="preserve">&amp;enterFPGAreg, </v>
      </c>
      <c r="N7" s="34" t="str">
        <f t="shared" si="3"/>
        <v xml:space="preserve">  {"Set Reg 5", m_reg_5, &amp;settings.menuValues[5], &amp;setFPGAreg, &amp;enterFPGAreg, 0, 99, 0},</v>
      </c>
      <c r="O7" s="47" t="str">
        <f t="shared" si="9"/>
        <v xml:space="preserve">  m_reg_5,</v>
      </c>
    </row>
    <row r="8" spans="1:15" s="20" customFormat="1" x14ac:dyDescent="0.25">
      <c r="A8" s="16">
        <f t="shared" si="0"/>
        <v>6</v>
      </c>
      <c r="B8" s="15" t="s">
        <v>139</v>
      </c>
      <c r="C8" s="12" t="s">
        <v>142</v>
      </c>
      <c r="D8" s="15">
        <v>0</v>
      </c>
      <c r="E8" s="15">
        <v>99</v>
      </c>
      <c r="F8" s="15">
        <v>0</v>
      </c>
      <c r="G8" s="24" t="str">
        <f t="shared" si="1"/>
        <v>settings.menuValues[6]</v>
      </c>
      <c r="H8" s="24" t="s">
        <v>147</v>
      </c>
      <c r="I8" s="24" t="s">
        <v>165</v>
      </c>
      <c r="J8" s="37" t="str">
        <f t="shared" si="6"/>
        <v xml:space="preserve">"Set Reg 6", </v>
      </c>
      <c r="K8" s="38" t="str">
        <f t="shared" si="7"/>
        <v xml:space="preserve">&amp;settings.menuValues[6], </v>
      </c>
      <c r="L8" s="38" t="str">
        <f t="shared" si="8"/>
        <v xml:space="preserve">&amp;setFPGAreg, </v>
      </c>
      <c r="M8" s="38" t="str">
        <f t="shared" si="2"/>
        <v xml:space="preserve">&amp;enterFPGAreg, </v>
      </c>
      <c r="N8" s="34" t="str">
        <f t="shared" si="3"/>
        <v xml:space="preserve">  {"Set Reg 6", m_reg_6, &amp;settings.menuValues[6], &amp;setFPGAreg, &amp;enterFPGAreg, 0, 99, 0},</v>
      </c>
      <c r="O8" s="47" t="str">
        <f t="shared" si="9"/>
        <v xml:space="preserve">  m_reg_6,</v>
      </c>
    </row>
    <row r="9" spans="1:15" s="20" customFormat="1" x14ac:dyDescent="0.25">
      <c r="A9" s="16">
        <f t="shared" si="0"/>
        <v>7</v>
      </c>
      <c r="B9" s="15" t="s">
        <v>140</v>
      </c>
      <c r="C9" s="12" t="s">
        <v>143</v>
      </c>
      <c r="D9" s="15">
        <v>0</v>
      </c>
      <c r="E9" s="15">
        <v>99</v>
      </c>
      <c r="F9" s="15">
        <v>0</v>
      </c>
      <c r="G9" s="24" t="str">
        <f t="shared" si="1"/>
        <v>settings.menuValues[7]</v>
      </c>
      <c r="H9" s="24" t="s">
        <v>147</v>
      </c>
      <c r="I9" s="24" t="s">
        <v>165</v>
      </c>
      <c r="J9" s="37" t="str">
        <f t="shared" si="6"/>
        <v xml:space="preserve">"Set Reg 7", </v>
      </c>
      <c r="K9" s="38" t="str">
        <f t="shared" si="7"/>
        <v xml:space="preserve">&amp;settings.menuValues[7], </v>
      </c>
      <c r="L9" s="38" t="str">
        <f t="shared" si="8"/>
        <v xml:space="preserve">&amp;setFPGAreg, </v>
      </c>
      <c r="M9" s="38" t="str">
        <f t="shared" si="2"/>
        <v xml:space="preserve">&amp;enterFPGAreg, </v>
      </c>
      <c r="N9" s="34" t="str">
        <f t="shared" si="3"/>
        <v xml:space="preserve">  {"Set Reg 7", m_reg_7, &amp;settings.menuValues[7], &amp;setFPGAreg, &amp;enterFPGAreg, 0, 99, 0},</v>
      </c>
      <c r="O9" s="47" t="str">
        <f t="shared" si="9"/>
        <v xml:space="preserve">  m_reg_7,</v>
      </c>
    </row>
    <row r="10" spans="1:15" s="20" customFormat="1" x14ac:dyDescent="0.25">
      <c r="A10" s="16">
        <f t="shared" si="0"/>
        <v>8</v>
      </c>
      <c r="B10" s="15" t="s">
        <v>172</v>
      </c>
      <c r="C10" s="12" t="s">
        <v>175</v>
      </c>
      <c r="D10" s="15">
        <v>0</v>
      </c>
      <c r="E10" s="15">
        <v>1</v>
      </c>
      <c r="F10" s="15">
        <v>0</v>
      </c>
      <c r="G10" s="24" t="str">
        <f t="shared" si="1"/>
        <v>settings.menuValues[8]</v>
      </c>
      <c r="H10" s="24" t="s">
        <v>147</v>
      </c>
      <c r="I10" s="24" t="s">
        <v>165</v>
      </c>
      <c r="J10" s="37" t="str">
        <f t="shared" si="6"/>
        <v xml:space="preserve">"Switch 8", </v>
      </c>
      <c r="K10" s="38" t="str">
        <f t="shared" ref="K10:K11" si="10">IF(G10="NULL",CONCATENATE(G10,", "),CONCATENATE("&amp;",G10,", "))</f>
        <v xml:space="preserve">&amp;settings.menuValues[8], </v>
      </c>
      <c r="L10" s="38" t="str">
        <f t="shared" ref="L10:L11" si="11">IF(H10="NULL",CONCATENATE(H10,", "),CONCATENATE("&amp;",H10,", "))</f>
        <v xml:space="preserve">&amp;setFPGAreg, </v>
      </c>
      <c r="M10" s="38" t="str">
        <f t="shared" ref="M10:M11" si="12">IF(I10="NULL",CONCATENATE(I10,", "),CONCATENATE("&amp;",I10,", "))</f>
        <v xml:space="preserve">&amp;enterFPGAreg, </v>
      </c>
      <c r="N10" s="34" t="str">
        <f t="shared" si="3"/>
        <v xml:space="preserve">  {"Switch 8", m_sw_0, &amp;settings.menuValues[8], &amp;setFPGAreg, &amp;enterFPGAreg, 0, 1, 0},</v>
      </c>
      <c r="O10" s="47" t="str">
        <f t="shared" ref="O10:O11" si="13">CONCATENATE("  ",C10,",")</f>
        <v xml:space="preserve">  m_sw_0,</v>
      </c>
    </row>
    <row r="11" spans="1:15" s="20" customFormat="1" x14ac:dyDescent="0.25">
      <c r="A11" s="16">
        <f t="shared" si="0"/>
        <v>9</v>
      </c>
      <c r="B11" s="15" t="s">
        <v>173</v>
      </c>
      <c r="C11" s="12" t="s">
        <v>176</v>
      </c>
      <c r="D11" s="15">
        <v>0</v>
      </c>
      <c r="E11" s="15">
        <v>1</v>
      </c>
      <c r="F11" s="15">
        <v>0</v>
      </c>
      <c r="G11" s="24" t="str">
        <f t="shared" si="1"/>
        <v>settings.menuValues[9]</v>
      </c>
      <c r="H11" s="24" t="s">
        <v>147</v>
      </c>
      <c r="I11" s="24" t="s">
        <v>165</v>
      </c>
      <c r="J11" s="37" t="str">
        <f t="shared" si="6"/>
        <v xml:space="preserve">"Switch 9", </v>
      </c>
      <c r="K11" s="38" t="str">
        <f t="shared" si="10"/>
        <v xml:space="preserve">&amp;settings.menuValues[9], </v>
      </c>
      <c r="L11" s="38" t="str">
        <f t="shared" si="11"/>
        <v xml:space="preserve">&amp;setFPGAreg, </v>
      </c>
      <c r="M11" s="38" t="str">
        <f t="shared" si="12"/>
        <v xml:space="preserve">&amp;enterFPGAreg, </v>
      </c>
      <c r="N11" s="34" t="str">
        <f t="shared" si="3"/>
        <v xml:space="preserve">  {"Switch 9", m_sw_1, &amp;settings.menuValues[9], &amp;setFPGAreg, &amp;enterFPGAreg, 0, 1, 0},</v>
      </c>
      <c r="O11" s="47" t="str">
        <f t="shared" si="13"/>
        <v xml:space="preserve">  m_sw_1,</v>
      </c>
    </row>
    <row r="12" spans="1:15" x14ac:dyDescent="0.25">
      <c r="A12" s="16">
        <f t="shared" si="0"/>
        <v>10</v>
      </c>
      <c r="B12" s="1" t="s">
        <v>135</v>
      </c>
      <c r="C12" s="15" t="s">
        <v>144</v>
      </c>
      <c r="D12" s="15">
        <v>0</v>
      </c>
      <c r="E12" s="1">
        <v>15</v>
      </c>
      <c r="F12" s="15">
        <v>0</v>
      </c>
      <c r="G12" s="24" t="str">
        <f t="shared" si="1"/>
        <v>settings.menuValues[10]</v>
      </c>
      <c r="H12" s="24" t="s">
        <v>150</v>
      </c>
      <c r="I12" s="24" t="s">
        <v>157</v>
      </c>
      <c r="J12" s="37" t="str">
        <f>CONCATENATE("""",B12,""", ")</f>
        <v xml:space="preserve">"Config File", </v>
      </c>
      <c r="K12" s="38" t="str">
        <f t="shared" ref="K12:L15" si="14">IF(G12="NULL",CONCATENATE(G12,", "),CONCATENATE("&amp;",G12,", "))</f>
        <v xml:space="preserve">&amp;settings.menuValues[10], </v>
      </c>
      <c r="L12" s="38" t="str">
        <f t="shared" si="14"/>
        <v xml:space="preserve">&amp;selectConfigFile, </v>
      </c>
      <c r="M12" s="38" t="str">
        <f t="shared" si="2"/>
        <v xml:space="preserve">&amp;enterConfigFile, </v>
      </c>
      <c r="N12" s="34" t="str">
        <f t="shared" si="3"/>
        <v xml:space="preserve">  {"Config File", m_config_file, &amp;settings.menuValues[10], &amp;selectConfigFile, &amp;enterConfigFile, 0, 15, 0},</v>
      </c>
      <c r="O12" s="47" t="str">
        <f>CONCATENATE("  ",C12,",")</f>
        <v xml:space="preserve">  m_config_file,</v>
      </c>
    </row>
    <row r="13" spans="1:15" s="20" customFormat="1" x14ac:dyDescent="0.25">
      <c r="A13" s="16">
        <f t="shared" si="0"/>
        <v>11</v>
      </c>
      <c r="B13" s="15" t="s">
        <v>163</v>
      </c>
      <c r="C13" s="15" t="s">
        <v>164</v>
      </c>
      <c r="D13" s="15">
        <v>0</v>
      </c>
      <c r="E13" s="15">
        <v>15</v>
      </c>
      <c r="F13" s="15">
        <v>0</v>
      </c>
      <c r="G13" s="24" t="str">
        <f t="shared" si="1"/>
        <v>settings.menuValues[11]</v>
      </c>
      <c r="H13" s="24" t="s">
        <v>161</v>
      </c>
      <c r="I13" s="24" t="s">
        <v>162</v>
      </c>
      <c r="J13" s="37" t="str">
        <f>CONCATENATE("""",B13,""", ")</f>
        <v xml:space="preserve">"PicoBlaze File", </v>
      </c>
      <c r="K13" s="38" t="str">
        <f t="shared" si="14"/>
        <v xml:space="preserve">&amp;settings.menuValues[11], </v>
      </c>
      <c r="L13" s="38" t="str">
        <f t="shared" si="14"/>
        <v xml:space="preserve">&amp;selectPicoBlazeFile, </v>
      </c>
      <c r="M13" s="38" t="str">
        <f t="shared" ref="M13" si="15">IF(I13="NULL",CONCATENATE(I13,", "),CONCATENATE("&amp;",I13,", "))</f>
        <v xml:space="preserve">&amp;enterPicoBlazeFile, </v>
      </c>
      <c r="N13" s="34" t="str">
        <f t="shared" si="3"/>
        <v xml:space="preserve">  {"PicoBlaze File", m_picoblaze_file, &amp;settings.menuValues[11], &amp;selectPicoBlazeFile, &amp;enterPicoBlazeFile, 0, 15, 0},</v>
      </c>
      <c r="O13" s="47" t="str">
        <f>CONCATENATE("  ",C13,",")</f>
        <v xml:space="preserve">  m_picoblaze_file,</v>
      </c>
    </row>
    <row r="14" spans="1:15" s="20" customFormat="1" x14ac:dyDescent="0.25">
      <c r="A14" s="16">
        <f t="shared" si="0"/>
        <v>12</v>
      </c>
      <c r="B14" s="15" t="s">
        <v>177</v>
      </c>
      <c r="C14" s="15" t="s">
        <v>178</v>
      </c>
      <c r="D14" s="15">
        <v>0</v>
      </c>
      <c r="E14" s="15">
        <v>0</v>
      </c>
      <c r="F14" s="15">
        <v>0</v>
      </c>
      <c r="G14" s="24" t="s">
        <v>54</v>
      </c>
      <c r="H14" s="24" t="s">
        <v>54</v>
      </c>
      <c r="I14" s="24" t="s">
        <v>179</v>
      </c>
      <c r="J14" s="37" t="str">
        <f>CONCATENATE("""",B14,""", ")</f>
        <v xml:space="preserve">"Exec Test", </v>
      </c>
      <c r="K14" s="38" t="str">
        <f t="shared" ref="K14" si="16">IF(G14="NULL",CONCATENATE(G14,", "),CONCATENATE("&amp;",G14,", "))</f>
        <v xml:space="preserve">NULL, </v>
      </c>
      <c r="L14" s="38" t="str">
        <f t="shared" ref="L14" si="17">IF(H14="NULL",CONCATENATE(H14,", "),CONCATENATE("&amp;",H14,", "))</f>
        <v xml:space="preserve">NULL, </v>
      </c>
      <c r="M14" s="38" t="str">
        <f t="shared" ref="M14" si="18">IF(I14="NULL",CONCATENATE(I14,", "),CONCATENATE("&amp;",I14,", "))</f>
        <v xml:space="preserve">&amp;enterExecTest, </v>
      </c>
      <c r="N14" s="34" t="str">
        <f t="shared" ref="N14" si="19">CONCATENATE("  {",J14,C14,", ",K14,L14,M14,D14,", ",E14,", ",F14,"},")</f>
        <v xml:space="preserve">  {"Exec Test", m_exec_test, NULL, NULL, &amp;enterExecTest, 0, 0, 0},</v>
      </c>
      <c r="O14" s="47" t="str">
        <f>CONCATENATE("  ",C14,",")</f>
        <v xml:space="preserve">  m_exec_test,</v>
      </c>
    </row>
    <row r="15" spans="1:15" s="7" customFormat="1" x14ac:dyDescent="0.25">
      <c r="A15" s="16">
        <f>A13+1</f>
        <v>12</v>
      </c>
      <c r="B15" s="1" t="s">
        <v>43</v>
      </c>
      <c r="C15" s="15" t="s">
        <v>70</v>
      </c>
      <c r="D15" s="15">
        <v>-1</v>
      </c>
      <c r="E15" s="1">
        <v>-1</v>
      </c>
      <c r="F15" s="15">
        <v>-1</v>
      </c>
      <c r="G15" s="24" t="s">
        <v>54</v>
      </c>
      <c r="H15" s="24" t="s">
        <v>54</v>
      </c>
      <c r="I15" s="24" t="s">
        <v>54</v>
      </c>
      <c r="J15" s="37" t="str">
        <f>CONCATENATE("""",B15,""", ")</f>
        <v xml:space="preserve">"End", </v>
      </c>
      <c r="K15" s="38" t="str">
        <f t="shared" si="14"/>
        <v xml:space="preserve">NULL, </v>
      </c>
      <c r="L15" s="38" t="str">
        <f t="shared" si="14"/>
        <v xml:space="preserve">NULL, </v>
      </c>
      <c r="M15" s="38" t="str">
        <f t="shared" si="2"/>
        <v xml:space="preserve">NULL, </v>
      </c>
      <c r="N15" s="34" t="str">
        <f t="shared" si="3"/>
        <v xml:space="preserve">  {"End", m_main_end, NULL, NULL, NULL, -1, -1, -1},</v>
      </c>
      <c r="O15" s="47" t="str">
        <f>CONCATENATE("  ",C15,",")</f>
        <v xml:space="preserve">  m_main_end,</v>
      </c>
    </row>
    <row r="16" spans="1:15" x14ac:dyDescent="0.25">
      <c r="A16" s="16">
        <f t="shared" si="0"/>
        <v>13</v>
      </c>
      <c r="G16" s="15"/>
      <c r="H16" s="15"/>
      <c r="J16" s="9"/>
      <c r="K16" s="8"/>
      <c r="N16" s="34" t="s">
        <v>8</v>
      </c>
      <c r="O16" s="15" t="s">
        <v>174</v>
      </c>
    </row>
    <row r="17" spans="1:14" x14ac:dyDescent="0.25">
      <c r="A17" s="67" t="s">
        <v>121</v>
      </c>
      <c r="B17" s="15" t="s">
        <v>120</v>
      </c>
      <c r="C17" s="62" t="s">
        <v>119</v>
      </c>
      <c r="D17" s="55">
        <v>-1</v>
      </c>
      <c r="E17" s="55">
        <v>-1</v>
      </c>
      <c r="F17" s="55"/>
      <c r="G17" s="14" t="s">
        <v>149</v>
      </c>
      <c r="K17" s="69" t="s">
        <v>151</v>
      </c>
      <c r="L17" s="69" t="s">
        <v>153</v>
      </c>
      <c r="M17" s="70"/>
      <c r="N17" s="34"/>
    </row>
    <row r="18" spans="1:14" x14ac:dyDescent="0.25">
      <c r="A18" s="67" t="s">
        <v>121</v>
      </c>
      <c r="B18" s="15" t="s">
        <v>120</v>
      </c>
      <c r="C18" s="62" t="s">
        <v>119</v>
      </c>
      <c r="D18" s="64">
        <v>0</v>
      </c>
      <c r="E18" s="64">
        <v>0</v>
      </c>
      <c r="F18" s="64"/>
      <c r="G18" s="14" t="s">
        <v>117</v>
      </c>
      <c r="K18" s="71" t="s">
        <v>152</v>
      </c>
      <c r="L18" s="71" t="s">
        <v>155</v>
      </c>
      <c r="M18" s="71" t="s">
        <v>156</v>
      </c>
      <c r="N18" s="68" t="s">
        <v>145</v>
      </c>
    </row>
    <row r="19" spans="1:14" x14ac:dyDescent="0.25">
      <c r="K19" s="71" t="s">
        <v>154</v>
      </c>
      <c r="L19" s="71"/>
      <c r="M19" s="71"/>
      <c r="N19" s="68"/>
    </row>
    <row r="20" spans="1:14" x14ac:dyDescent="0.25">
      <c r="A20" s="33" t="str">
        <f>CONCATENATE("#define MENU_ITEMCOUNT ",A16)</f>
        <v>#define MENU_ITEMCOUNT 13</v>
      </c>
      <c r="B20" s="33"/>
      <c r="C20" s="33"/>
      <c r="D20" s="6" t="s">
        <v>125</v>
      </c>
      <c r="N20" s="68"/>
    </row>
    <row r="21" spans="1:14" x14ac:dyDescent="0.25">
      <c r="N21" s="68"/>
    </row>
    <row r="22" spans="1:14" x14ac:dyDescent="0.25">
      <c r="N22" s="68"/>
    </row>
    <row r="23" spans="1:14" x14ac:dyDescent="0.25">
      <c r="N23" s="68"/>
    </row>
    <row r="24" spans="1:14" x14ac:dyDescent="0.25">
      <c r="N24" s="68"/>
    </row>
    <row r="25" spans="1:14" x14ac:dyDescent="0.25">
      <c r="N25" s="68"/>
    </row>
    <row r="26" spans="1:14" x14ac:dyDescent="0.25">
      <c r="N26" s="68"/>
    </row>
    <row r="27" spans="1:14" x14ac:dyDescent="0.25">
      <c r="N27" s="68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activeCell="L1" sqref="L1:L14"/>
    </sheetView>
  </sheetViews>
  <sheetFormatPr baseColWidth="10" defaultRowHeight="15" x14ac:dyDescent="0.25"/>
  <cols>
    <col min="1" max="1" width="6.28515625" style="67" customWidth="1"/>
    <col min="2" max="2" width="16.7109375" style="15" customWidth="1"/>
    <col min="3" max="3" width="15.5703125" style="12" customWidth="1"/>
    <col min="4" max="4" width="8.28515625" style="12" customWidth="1"/>
    <col min="5" max="5" width="12.5703125" style="12" customWidth="1"/>
    <col min="6" max="6" width="21.28515625" style="21" customWidth="1"/>
    <col min="7" max="7" width="22.140625" style="21" customWidth="1"/>
    <col min="8" max="8" width="21.28515625" style="15" customWidth="1"/>
    <col min="9" max="9" width="21.5703125" style="23" customWidth="1"/>
    <col min="10" max="10" width="23.140625" style="23" customWidth="1"/>
    <col min="11" max="11" width="94.28515625" style="15" customWidth="1"/>
    <col min="12" max="12" width="32.140625" style="20" customWidth="1"/>
    <col min="13" max="16384" width="11.42578125" style="20"/>
  </cols>
  <sheetData>
    <row r="1" spans="1:12" s="18" customFormat="1" ht="45.75" customHeight="1" x14ac:dyDescent="0.25">
      <c r="A1" s="65" t="s">
        <v>0</v>
      </c>
      <c r="B1" s="17" t="s">
        <v>14</v>
      </c>
      <c r="C1" s="48" t="s">
        <v>9</v>
      </c>
      <c r="D1" s="48" t="s">
        <v>10</v>
      </c>
      <c r="E1" s="48" t="s">
        <v>11</v>
      </c>
      <c r="F1" s="31" t="s">
        <v>71</v>
      </c>
      <c r="G1" s="31" t="s">
        <v>55</v>
      </c>
      <c r="H1" s="36" t="s">
        <v>102</v>
      </c>
      <c r="I1" s="36" t="s">
        <v>99</v>
      </c>
      <c r="J1" s="36" t="s">
        <v>100</v>
      </c>
      <c r="K1" s="19" t="s">
        <v>101</v>
      </c>
      <c r="L1" s="46" t="s">
        <v>7</v>
      </c>
    </row>
    <row r="2" spans="1:12" x14ac:dyDescent="0.25">
      <c r="A2" s="66">
        <v>0</v>
      </c>
      <c r="B2" s="42" t="s">
        <v>20</v>
      </c>
      <c r="C2" s="49" t="s">
        <v>106</v>
      </c>
      <c r="D2" s="12">
        <v>-1</v>
      </c>
      <c r="E2" s="50">
        <v>-1</v>
      </c>
      <c r="F2" s="24" t="s">
        <v>54</v>
      </c>
      <c r="G2" s="24" t="s">
        <v>54</v>
      </c>
      <c r="H2" s="37" t="str">
        <f>CONCATENATE("""",B2,""", ")</f>
        <v xml:space="preserve">"Upper DBs", </v>
      </c>
      <c r="I2" s="38" t="str">
        <f>IF(F2="NULL",CONCATENATE(F2,", "),CONCATENATE("&amp;",F2,", "))</f>
        <v xml:space="preserve">NULL, </v>
      </c>
      <c r="J2" s="38" t="str">
        <f>IF(G2="NULL",CONCATENATE(G2,", "),CONCATENATE("&amp;",G2,", "))</f>
        <v xml:space="preserve">NULL, </v>
      </c>
      <c r="K2" s="34" t="str">
        <f t="shared" ref="K2:K5" si="0">CONCATENATE("  {",H2,C2,", ",I2,J2,D2,", ",E2,"},")</f>
        <v xml:space="preserve">  {"Upper DBs", m_upper_db, NULL, NULL, -1, -1},</v>
      </c>
      <c r="L2" s="47" t="str">
        <f>CONCATENATE("  ",C2,",")</f>
        <v xml:space="preserve">  m_upper_db,</v>
      </c>
    </row>
    <row r="3" spans="1:12" x14ac:dyDescent="0.25">
      <c r="A3" s="66">
        <f t="shared" ref="A3:A54" si="1">A2+1</f>
        <v>1</v>
      </c>
      <c r="B3" s="42" t="s">
        <v>21</v>
      </c>
      <c r="C3" s="49" t="s">
        <v>107</v>
      </c>
      <c r="D3" s="12">
        <v>-1</v>
      </c>
      <c r="E3" s="50">
        <v>-1</v>
      </c>
      <c r="F3" s="24" t="s">
        <v>54</v>
      </c>
      <c r="G3" s="24" t="s">
        <v>54</v>
      </c>
      <c r="H3" s="37" t="str">
        <f t="shared" ref="H3:H52" si="2">CONCATENATE("""",B3,""", ")</f>
        <v xml:space="preserve">"Lower DBs", </v>
      </c>
      <c r="I3" s="38" t="str">
        <f t="shared" ref="I3:I52" si="3">IF(F3="NULL",CONCATENATE(F3,", "),CONCATENATE("&amp;",F3,", "))</f>
        <v xml:space="preserve">NULL, </v>
      </c>
      <c r="J3" s="38" t="str">
        <f t="shared" ref="J3:J52" si="4">IF(G3="NULL",CONCATENATE(G3,", "),CONCATENATE("&amp;",G3,", "))</f>
        <v xml:space="preserve">NULL, </v>
      </c>
      <c r="K3" s="34" t="str">
        <f t="shared" si="0"/>
        <v xml:space="preserve">  {"Lower DBs", m_lower_db, NULL, NULL, -1, -1},</v>
      </c>
      <c r="L3" s="47" t="str">
        <f t="shared" ref="L3:L13" si="5">CONCATENATE("  ",C3,",")</f>
        <v xml:space="preserve">  m_lower_db,</v>
      </c>
    </row>
    <row r="4" spans="1:12" x14ac:dyDescent="0.25">
      <c r="A4" s="66">
        <f t="shared" si="1"/>
        <v>2</v>
      </c>
      <c r="B4" s="42" t="s">
        <v>22</v>
      </c>
      <c r="C4" s="49" t="s">
        <v>108</v>
      </c>
      <c r="D4" s="12">
        <v>-1</v>
      </c>
      <c r="E4" s="50">
        <v>-1</v>
      </c>
      <c r="F4" s="24" t="s">
        <v>54</v>
      </c>
      <c r="G4" s="24" t="s">
        <v>54</v>
      </c>
      <c r="H4" s="37" t="str">
        <f t="shared" si="2"/>
        <v xml:space="preserve">"Pedal DBs", </v>
      </c>
      <c r="I4" s="38" t="str">
        <f t="shared" si="3"/>
        <v xml:space="preserve">NULL, </v>
      </c>
      <c r="J4" s="38" t="str">
        <f t="shared" si="4"/>
        <v xml:space="preserve">NULL, </v>
      </c>
      <c r="K4" s="34" t="str">
        <f t="shared" si="0"/>
        <v xml:space="preserve">  {"Pedal DBs", m_pedal_db, NULL, NULL, -1, -1},</v>
      </c>
      <c r="L4" s="47" t="str">
        <f t="shared" si="5"/>
        <v xml:space="preserve">  m_pedal_db,</v>
      </c>
    </row>
    <row r="5" spans="1:12" x14ac:dyDescent="0.25">
      <c r="A5" s="66">
        <f t="shared" si="1"/>
        <v>3</v>
      </c>
      <c r="B5" s="43" t="s">
        <v>72</v>
      </c>
      <c r="C5" s="51" t="s">
        <v>110</v>
      </c>
      <c r="D5" s="12">
        <v>0</v>
      </c>
      <c r="E5" s="12">
        <v>127</v>
      </c>
      <c r="F5" s="30" t="s">
        <v>123</v>
      </c>
      <c r="G5" s="24" t="s">
        <v>124</v>
      </c>
      <c r="H5" s="37" t="str">
        <f t="shared" si="2"/>
        <v xml:space="preserve">"Swell Pedal", </v>
      </c>
      <c r="I5" s="38" t="str">
        <f t="shared" si="3"/>
        <v xml:space="preserve">&amp;preamp.swell127, </v>
      </c>
      <c r="J5" s="38" t="str">
        <f t="shared" si="4"/>
        <v xml:space="preserve">&amp;sendMIDIswell, </v>
      </c>
      <c r="K5" s="34" t="str">
        <f t="shared" si="0"/>
        <v xml:space="preserve">  {"Swell Pedal", m_swell, &amp;preamp.swell127, &amp;sendMIDIswell, 0, 127},</v>
      </c>
      <c r="L5" s="47" t="str">
        <f t="shared" si="5"/>
        <v xml:space="preserve">  m_swell,</v>
      </c>
    </row>
    <row r="6" spans="1:12" x14ac:dyDescent="0.25">
      <c r="A6" s="66">
        <f t="shared" si="1"/>
        <v>4</v>
      </c>
      <c r="B6" s="43" t="s">
        <v>18</v>
      </c>
      <c r="C6" s="51" t="s">
        <v>111</v>
      </c>
      <c r="D6" s="11">
        <v>0</v>
      </c>
      <c r="E6" s="11">
        <v>127</v>
      </c>
      <c r="F6" s="30" t="s">
        <v>73</v>
      </c>
      <c r="G6" s="32" t="s">
        <v>105</v>
      </c>
      <c r="H6" s="37" t="str">
        <f t="shared" si="2"/>
        <v xml:space="preserve">"Master Volume", </v>
      </c>
      <c r="I6" s="38" t="str">
        <f t="shared" si="3"/>
        <v xml:space="preserve">&amp;preamp.masterVolume, </v>
      </c>
      <c r="J6" s="38" t="str">
        <f t="shared" si="4"/>
        <v xml:space="preserve">&amp;sendOrganVolumes, </v>
      </c>
      <c r="K6" s="34" t="str">
        <f>CONCATENATE("  {",H6,C6,", ",I6,J6,D6,", ",E6,"},")</f>
        <v xml:space="preserve">  {"Master Volume", m_volume, &amp;preamp.masterVolume, &amp;sendOrganVolumes, 0, 127},</v>
      </c>
      <c r="L6" s="47" t="str">
        <f t="shared" si="5"/>
        <v xml:space="preserve">  m_volume,</v>
      </c>
    </row>
    <row r="7" spans="1:12" x14ac:dyDescent="0.25">
      <c r="A7" s="66">
        <f t="shared" si="1"/>
        <v>5</v>
      </c>
      <c r="B7" s="25" t="s">
        <v>19</v>
      </c>
      <c r="C7" s="51" t="s">
        <v>112</v>
      </c>
      <c r="D7" s="11">
        <v>0</v>
      </c>
      <c r="E7" s="11">
        <v>127</v>
      </c>
      <c r="F7" s="30" t="s">
        <v>104</v>
      </c>
      <c r="G7" s="32" t="s">
        <v>103</v>
      </c>
      <c r="H7" s="37" t="str">
        <f t="shared" si="2"/>
        <v xml:space="preserve">"Amp Gain", </v>
      </c>
      <c r="I7" s="38" t="str">
        <f t="shared" si="3"/>
        <v xml:space="preserve">&amp;preamp.ampGain, </v>
      </c>
      <c r="J7" s="38" t="str">
        <f t="shared" si="4"/>
        <v xml:space="preserve">&amp;sendAmpVolume, </v>
      </c>
      <c r="K7" s="34" t="str">
        <f t="shared" ref="K7:K52" si="6">CONCATENATE("  {",H7,C7,", ",I7,J7,D7,", ",E7,"},")</f>
        <v xml:space="preserve">  {"Amp Gain", m_gain, &amp;preamp.ampGain, &amp;sendAmpVolume, 0, 127},</v>
      </c>
      <c r="L7" s="47" t="str">
        <f t="shared" si="5"/>
        <v xml:space="preserve">  m_gain,</v>
      </c>
    </row>
    <row r="8" spans="1:12" s="22" customFormat="1" x14ac:dyDescent="0.25">
      <c r="A8" s="66">
        <f t="shared" si="1"/>
        <v>6</v>
      </c>
      <c r="B8" s="25" t="s">
        <v>53</v>
      </c>
      <c r="C8" s="49" t="s">
        <v>109</v>
      </c>
      <c r="D8" s="11">
        <v>-1</v>
      </c>
      <c r="E8" s="22">
        <v>-1</v>
      </c>
      <c r="F8" s="24" t="s">
        <v>54</v>
      </c>
      <c r="G8" s="24" t="s">
        <v>54</v>
      </c>
      <c r="H8" s="37" t="str">
        <f t="shared" si="2"/>
        <v xml:space="preserve">"SD Flash Tools", </v>
      </c>
      <c r="I8" s="38" t="str">
        <f t="shared" si="3"/>
        <v xml:space="preserve">NULL, </v>
      </c>
      <c r="J8" s="38" t="str">
        <f t="shared" si="4"/>
        <v xml:space="preserve">NULL, </v>
      </c>
      <c r="K8" s="34" t="str">
        <f t="shared" si="6"/>
        <v xml:space="preserve">  {"SD Flash Tools", m_sd_card, NULL, NULL, -1, -1},</v>
      </c>
      <c r="L8" s="47" t="str">
        <f t="shared" si="5"/>
        <v xml:space="preserve">  m_sd_card,</v>
      </c>
    </row>
    <row r="9" spans="1:12" s="22" customFormat="1" x14ac:dyDescent="0.25">
      <c r="A9" s="66">
        <f t="shared" si="1"/>
        <v>7</v>
      </c>
      <c r="B9" s="42" t="s">
        <v>16</v>
      </c>
      <c r="C9" s="49" t="s">
        <v>69</v>
      </c>
      <c r="D9" s="12">
        <v>-1</v>
      </c>
      <c r="E9" s="52">
        <v>-1</v>
      </c>
      <c r="F9" s="24" t="s">
        <v>54</v>
      </c>
      <c r="G9" s="24" t="s">
        <v>54</v>
      </c>
      <c r="H9" s="37" t="str">
        <f t="shared" si="2"/>
        <v xml:space="preserve">"Keyboard", </v>
      </c>
      <c r="I9" s="38" t="str">
        <f t="shared" si="3"/>
        <v xml:space="preserve">NULL, </v>
      </c>
      <c r="J9" s="38" t="str">
        <f t="shared" si="4"/>
        <v xml:space="preserve">NULL, </v>
      </c>
      <c r="K9" s="34" t="str">
        <f t="shared" si="6"/>
        <v xml:space="preserve">  {"Keyboard", m_kbd_driver, NULL, NULL, -1, -1},</v>
      </c>
      <c r="L9" s="47" t="str">
        <f t="shared" si="5"/>
        <v xml:space="preserve">  m_kbd_driver,</v>
      </c>
    </row>
    <row r="10" spans="1:12" s="22" customFormat="1" x14ac:dyDescent="0.25">
      <c r="A10" s="66">
        <f t="shared" si="1"/>
        <v>8</v>
      </c>
      <c r="B10" s="42" t="s">
        <v>65</v>
      </c>
      <c r="C10" s="51" t="s">
        <v>113</v>
      </c>
      <c r="D10" s="12">
        <v>0</v>
      </c>
      <c r="E10" s="53">
        <v>15</v>
      </c>
      <c r="F10" s="24" t="s">
        <v>74</v>
      </c>
      <c r="G10" s="24" t="s">
        <v>66</v>
      </c>
      <c r="H10" s="37" t="str">
        <f t="shared" si="2"/>
        <v xml:space="preserve">"Organ Model", </v>
      </c>
      <c r="I10" s="38" t="str">
        <f t="shared" si="3"/>
        <v xml:space="preserve">&amp;tabs.organModel, </v>
      </c>
      <c r="J10" s="38" t="str">
        <f t="shared" si="4"/>
        <v xml:space="preserve">&amp;menuOrganModel, </v>
      </c>
      <c r="K10" s="34" t="str">
        <f t="shared" si="6"/>
        <v xml:space="preserve">  {"Organ Model", m_organ, &amp;tabs.organModel, &amp;menuOrganModel, 0, 15},</v>
      </c>
      <c r="L10" s="47" t="str">
        <f t="shared" si="5"/>
        <v xml:space="preserve">  m_organ,</v>
      </c>
    </row>
    <row r="11" spans="1:12" x14ac:dyDescent="0.25">
      <c r="A11" s="66">
        <f t="shared" si="1"/>
        <v>9</v>
      </c>
      <c r="B11" s="42" t="s">
        <v>67</v>
      </c>
      <c r="C11" s="51" t="s">
        <v>114</v>
      </c>
      <c r="D11" s="12">
        <v>0</v>
      </c>
      <c r="E11" s="53">
        <v>15</v>
      </c>
      <c r="F11" s="24" t="s">
        <v>76</v>
      </c>
      <c r="G11" s="24" t="s">
        <v>68</v>
      </c>
      <c r="H11" s="37" t="str">
        <f t="shared" si="2"/>
        <v xml:space="preserve">"Speaker Model", </v>
      </c>
      <c r="I11" s="38" t="str">
        <f t="shared" si="3"/>
        <v xml:space="preserve">&amp;tabs.speakerModel, </v>
      </c>
      <c r="J11" s="38" t="str">
        <f t="shared" si="4"/>
        <v xml:space="preserve">&amp;menuSpeakerModel, </v>
      </c>
      <c r="K11" s="34" t="str">
        <f t="shared" si="6"/>
        <v xml:space="preserve">  {"Speaker Model", m_speaker, &amp;tabs.speakerModel, &amp;menuSpeakerModel, 0, 15},</v>
      </c>
      <c r="L11" s="47" t="str">
        <f t="shared" si="5"/>
        <v xml:space="preserve">  m_speaker,</v>
      </c>
    </row>
    <row r="12" spans="1:12" x14ac:dyDescent="0.25">
      <c r="A12" s="66">
        <f t="shared" si="1"/>
        <v>10</v>
      </c>
      <c r="B12" s="42" t="s">
        <v>17</v>
      </c>
      <c r="C12" s="51" t="s">
        <v>115</v>
      </c>
      <c r="D12" s="12">
        <v>-1</v>
      </c>
      <c r="E12" s="12">
        <v>31</v>
      </c>
      <c r="F12" s="24" t="s">
        <v>54</v>
      </c>
      <c r="G12" s="24" t="s">
        <v>54</v>
      </c>
      <c r="H12" s="37" t="str">
        <f t="shared" si="2"/>
        <v xml:space="preserve">"Pitchwheel Pot", </v>
      </c>
      <c r="I12" s="38" t="str">
        <f t="shared" si="3"/>
        <v xml:space="preserve">NULL, </v>
      </c>
      <c r="J12" s="38" t="str">
        <f t="shared" si="4"/>
        <v xml:space="preserve">NULL, </v>
      </c>
      <c r="K12" s="34" t="str">
        <f t="shared" si="6"/>
        <v xml:space="preserve">  {"Pitchwheel Pot", m_pitchwheel, NULL, NULL, -1, 31},</v>
      </c>
      <c r="L12" s="47" t="str">
        <f t="shared" si="5"/>
        <v xml:space="preserve">  m_pitchwheel,</v>
      </c>
    </row>
    <row r="13" spans="1:12" x14ac:dyDescent="0.25">
      <c r="A13" s="66">
        <f t="shared" si="1"/>
        <v>11</v>
      </c>
      <c r="B13" s="60" t="s">
        <v>43</v>
      </c>
      <c r="C13" s="61" t="s">
        <v>70</v>
      </c>
      <c r="D13" s="50">
        <v>-1</v>
      </c>
      <c r="E13" s="50">
        <v>-1</v>
      </c>
      <c r="F13" s="24" t="s">
        <v>54</v>
      </c>
      <c r="G13" s="24" t="s">
        <v>54</v>
      </c>
      <c r="H13" s="37" t="str">
        <f t="shared" si="2"/>
        <v xml:space="preserve">"End", </v>
      </c>
      <c r="I13" s="38" t="str">
        <f t="shared" si="3"/>
        <v xml:space="preserve">NULL, </v>
      </c>
      <c r="J13" s="38" t="str">
        <f t="shared" si="4"/>
        <v xml:space="preserve">NULL, </v>
      </c>
      <c r="K13" s="34" t="str">
        <f t="shared" si="6"/>
        <v xml:space="preserve">  {"End", m_main_end, NULL, NULL, -1, -1},</v>
      </c>
      <c r="L13" s="47" t="str">
        <f t="shared" si="5"/>
        <v xml:space="preserve">  m_main_end,</v>
      </c>
    </row>
    <row r="14" spans="1:12" x14ac:dyDescent="0.25">
      <c r="A14" s="66">
        <f t="shared" si="1"/>
        <v>12</v>
      </c>
      <c r="B14" s="44" t="s">
        <v>23</v>
      </c>
      <c r="C14" s="49" t="s">
        <v>106</v>
      </c>
      <c r="D14" s="11">
        <v>0</v>
      </c>
      <c r="E14" s="11">
        <v>127</v>
      </c>
      <c r="F14" s="24" t="s">
        <v>75</v>
      </c>
      <c r="G14" s="24" t="s">
        <v>56</v>
      </c>
      <c r="H14" s="37" t="str">
        <f t="shared" si="2"/>
        <v xml:space="preserve">"Upper DB 16", </v>
      </c>
      <c r="I14" s="38" t="str">
        <f t="shared" si="3"/>
        <v xml:space="preserve">&amp;drawbars.upper[0], </v>
      </c>
      <c r="J14" s="38" t="str">
        <f t="shared" si="4"/>
        <v xml:space="preserve">&amp;fpga_send_upper_db, </v>
      </c>
      <c r="K14" s="34" t="str">
        <f t="shared" si="6"/>
        <v xml:space="preserve">  {"Upper DB 16", m_upper_db, &amp;drawbars.upper[0], &amp;fpga_send_upper_db, 0, 127},</v>
      </c>
      <c r="L14" s="47" t="s">
        <v>116</v>
      </c>
    </row>
    <row r="15" spans="1:12" x14ac:dyDescent="0.25">
      <c r="A15" s="66">
        <f t="shared" si="1"/>
        <v>13</v>
      </c>
      <c r="B15" s="45" t="s">
        <v>24</v>
      </c>
      <c r="C15" s="49" t="s">
        <v>106</v>
      </c>
      <c r="D15" s="11">
        <v>0</v>
      </c>
      <c r="E15" s="11">
        <v>127</v>
      </c>
      <c r="F15" s="24" t="s">
        <v>77</v>
      </c>
      <c r="G15" s="24" t="s">
        <v>56</v>
      </c>
      <c r="H15" s="37" t="str">
        <f t="shared" si="2"/>
        <v xml:space="preserve">"Upper DB 5 1/3", </v>
      </c>
      <c r="I15" s="38" t="str">
        <f t="shared" si="3"/>
        <v xml:space="preserve">&amp;drawbars.upper[1], </v>
      </c>
      <c r="J15" s="38" t="str">
        <f t="shared" si="4"/>
        <v xml:space="preserve">&amp;fpga_send_upper_db, </v>
      </c>
      <c r="K15" s="34" t="str">
        <f t="shared" si="6"/>
        <v xml:space="preserve">  {"Upper DB 5 1/3", m_upper_db, &amp;drawbars.upper[1], &amp;fpga_send_upper_db, 0, 127},</v>
      </c>
    </row>
    <row r="16" spans="1:12" s="22" customFormat="1" x14ac:dyDescent="0.25">
      <c r="A16" s="66">
        <f t="shared" si="1"/>
        <v>14</v>
      </c>
      <c r="B16" s="45" t="s">
        <v>25</v>
      </c>
      <c r="C16" s="49" t="s">
        <v>106</v>
      </c>
      <c r="D16" s="11">
        <v>0</v>
      </c>
      <c r="E16" s="11">
        <v>127</v>
      </c>
      <c r="F16" s="24" t="s">
        <v>78</v>
      </c>
      <c r="G16" s="24" t="s">
        <v>56</v>
      </c>
      <c r="H16" s="37" t="str">
        <f t="shared" si="2"/>
        <v xml:space="preserve">"Upper DB 8", </v>
      </c>
      <c r="I16" s="38" t="str">
        <f t="shared" si="3"/>
        <v xml:space="preserve">&amp;drawbars.upper[2], </v>
      </c>
      <c r="J16" s="38" t="str">
        <f t="shared" si="4"/>
        <v xml:space="preserve">&amp;fpga_send_upper_db, </v>
      </c>
      <c r="K16" s="34" t="str">
        <f t="shared" si="6"/>
        <v xml:space="preserve">  {"Upper DB 8", m_upper_db, &amp;drawbars.upper[2], &amp;fpga_send_upper_db, 0, 127},</v>
      </c>
    </row>
    <row r="17" spans="1:11" x14ac:dyDescent="0.25">
      <c r="A17" s="66">
        <f t="shared" si="1"/>
        <v>15</v>
      </c>
      <c r="B17" s="45" t="s">
        <v>26</v>
      </c>
      <c r="C17" s="49" t="s">
        <v>106</v>
      </c>
      <c r="D17" s="11">
        <v>0</v>
      </c>
      <c r="E17" s="11">
        <v>127</v>
      </c>
      <c r="F17" s="24" t="s">
        <v>79</v>
      </c>
      <c r="G17" s="24" t="s">
        <v>56</v>
      </c>
      <c r="H17" s="37" t="str">
        <f t="shared" si="2"/>
        <v xml:space="preserve">"Upper DB 4", </v>
      </c>
      <c r="I17" s="38" t="str">
        <f t="shared" si="3"/>
        <v xml:space="preserve">&amp;drawbars.upper[3], </v>
      </c>
      <c r="J17" s="38" t="str">
        <f t="shared" si="4"/>
        <v xml:space="preserve">&amp;fpga_send_upper_db, </v>
      </c>
      <c r="K17" s="34" t="str">
        <f t="shared" si="6"/>
        <v xml:space="preserve">  {"Upper DB 4", m_upper_db, &amp;drawbars.upper[3], &amp;fpga_send_upper_db, 0, 127},</v>
      </c>
    </row>
    <row r="18" spans="1:11" x14ac:dyDescent="0.25">
      <c r="A18" s="66">
        <f t="shared" si="1"/>
        <v>16</v>
      </c>
      <c r="B18" s="45" t="s">
        <v>27</v>
      </c>
      <c r="C18" s="49" t="s">
        <v>106</v>
      </c>
      <c r="D18" s="11">
        <v>0</v>
      </c>
      <c r="E18" s="11">
        <v>127</v>
      </c>
      <c r="F18" s="24" t="s">
        <v>80</v>
      </c>
      <c r="G18" s="24" t="s">
        <v>56</v>
      </c>
      <c r="H18" s="37" t="str">
        <f t="shared" si="2"/>
        <v xml:space="preserve">"Upper DB 2 2/3", </v>
      </c>
      <c r="I18" s="38" t="str">
        <f t="shared" si="3"/>
        <v xml:space="preserve">&amp;drawbars.upper[4], </v>
      </c>
      <c r="J18" s="38" t="str">
        <f t="shared" si="4"/>
        <v xml:space="preserve">&amp;fpga_send_upper_db, </v>
      </c>
      <c r="K18" s="34" t="str">
        <f t="shared" si="6"/>
        <v xml:space="preserve">  {"Upper DB 2 2/3", m_upper_db, &amp;drawbars.upper[4], &amp;fpga_send_upper_db, 0, 127},</v>
      </c>
    </row>
    <row r="19" spans="1:11" x14ac:dyDescent="0.25">
      <c r="A19" s="66">
        <f t="shared" si="1"/>
        <v>17</v>
      </c>
      <c r="B19" s="45" t="s">
        <v>28</v>
      </c>
      <c r="C19" s="49" t="s">
        <v>106</v>
      </c>
      <c r="D19" s="11">
        <v>0</v>
      </c>
      <c r="E19" s="11">
        <v>127</v>
      </c>
      <c r="F19" s="24" t="s">
        <v>81</v>
      </c>
      <c r="G19" s="24" t="s">
        <v>56</v>
      </c>
      <c r="H19" s="37" t="str">
        <f t="shared" si="2"/>
        <v xml:space="preserve">"Upper DB 2", </v>
      </c>
      <c r="I19" s="38" t="str">
        <f t="shared" si="3"/>
        <v xml:space="preserve">&amp;drawbars.upper[5], </v>
      </c>
      <c r="J19" s="38" t="str">
        <f t="shared" si="4"/>
        <v xml:space="preserve">&amp;fpga_send_upper_db, </v>
      </c>
      <c r="K19" s="34" t="str">
        <f t="shared" si="6"/>
        <v xml:space="preserve">  {"Upper DB 2", m_upper_db, &amp;drawbars.upper[5], &amp;fpga_send_upper_db, 0, 127},</v>
      </c>
    </row>
    <row r="20" spans="1:11" x14ac:dyDescent="0.25">
      <c r="A20" s="66">
        <f t="shared" si="1"/>
        <v>18</v>
      </c>
      <c r="B20" s="45" t="s">
        <v>29</v>
      </c>
      <c r="C20" s="49" t="s">
        <v>106</v>
      </c>
      <c r="D20" s="11">
        <v>0</v>
      </c>
      <c r="E20" s="11">
        <v>127</v>
      </c>
      <c r="F20" s="24" t="s">
        <v>82</v>
      </c>
      <c r="G20" s="24" t="s">
        <v>56</v>
      </c>
      <c r="H20" s="37" t="str">
        <f t="shared" si="2"/>
        <v xml:space="preserve">"Upper DB 1 3/5", </v>
      </c>
      <c r="I20" s="38" t="str">
        <f t="shared" si="3"/>
        <v xml:space="preserve">&amp;drawbars.upper[6], </v>
      </c>
      <c r="J20" s="38" t="str">
        <f t="shared" si="4"/>
        <v xml:space="preserve">&amp;fpga_send_upper_db, </v>
      </c>
      <c r="K20" s="34" t="str">
        <f t="shared" si="6"/>
        <v xml:space="preserve">  {"Upper DB 1 3/5", m_upper_db, &amp;drawbars.upper[6], &amp;fpga_send_upper_db, 0, 127},</v>
      </c>
    </row>
    <row r="21" spans="1:11" s="22" customFormat="1" x14ac:dyDescent="0.25">
      <c r="A21" s="66">
        <f t="shared" si="1"/>
        <v>19</v>
      </c>
      <c r="B21" s="45" t="s">
        <v>30</v>
      </c>
      <c r="C21" s="49" t="s">
        <v>106</v>
      </c>
      <c r="D21" s="11">
        <v>0</v>
      </c>
      <c r="E21" s="11">
        <v>127</v>
      </c>
      <c r="F21" s="24" t="s">
        <v>83</v>
      </c>
      <c r="G21" s="24" t="s">
        <v>56</v>
      </c>
      <c r="H21" s="37" t="str">
        <f t="shared" si="2"/>
        <v xml:space="preserve">"Upper DB 1 1/3", </v>
      </c>
      <c r="I21" s="38" t="str">
        <f t="shared" si="3"/>
        <v xml:space="preserve">&amp;drawbars.upper[7], </v>
      </c>
      <c r="J21" s="38" t="str">
        <f t="shared" si="4"/>
        <v xml:space="preserve">&amp;fpga_send_upper_db, </v>
      </c>
      <c r="K21" s="34" t="str">
        <f t="shared" si="6"/>
        <v xml:space="preserve">  {"Upper DB 1 1/3", m_upper_db, &amp;drawbars.upper[7], &amp;fpga_send_upper_db, 0, 127},</v>
      </c>
    </row>
    <row r="22" spans="1:11" x14ac:dyDescent="0.25">
      <c r="A22" s="66">
        <f t="shared" si="1"/>
        <v>20</v>
      </c>
      <c r="B22" s="45" t="s">
        <v>31</v>
      </c>
      <c r="C22" s="49" t="s">
        <v>106</v>
      </c>
      <c r="D22" s="11">
        <v>0</v>
      </c>
      <c r="E22" s="11">
        <v>127</v>
      </c>
      <c r="F22" s="24" t="s">
        <v>84</v>
      </c>
      <c r="G22" s="24" t="s">
        <v>56</v>
      </c>
      <c r="H22" s="37" t="str">
        <f t="shared" si="2"/>
        <v xml:space="preserve">"Upper DB 1", </v>
      </c>
      <c r="I22" s="38" t="str">
        <f t="shared" si="3"/>
        <v xml:space="preserve">&amp;drawbars.upper[8], </v>
      </c>
      <c r="J22" s="38" t="str">
        <f t="shared" si="4"/>
        <v xml:space="preserve">&amp;fpga_send_upper_db, </v>
      </c>
      <c r="K22" s="34" t="str">
        <f t="shared" si="6"/>
        <v xml:space="preserve">  {"Upper DB 1", m_upper_db, &amp;drawbars.upper[8], &amp;fpga_send_upper_db, 0, 127},</v>
      </c>
    </row>
    <row r="23" spans="1:11" x14ac:dyDescent="0.25">
      <c r="A23" s="66">
        <f t="shared" si="1"/>
        <v>21</v>
      </c>
      <c r="B23" s="59" t="s">
        <v>44</v>
      </c>
      <c r="C23" s="55" t="s">
        <v>106</v>
      </c>
      <c r="D23" s="22">
        <v>-1</v>
      </c>
      <c r="E23" s="22">
        <v>-1</v>
      </c>
      <c r="F23" s="24" t="s">
        <v>54</v>
      </c>
      <c r="G23" s="24" t="s">
        <v>54</v>
      </c>
      <c r="H23" s="37" t="str">
        <f t="shared" ref="H23" si="7">CONCATENATE("""",B23,""", ")</f>
        <v xml:space="preserve">"Upper DB", </v>
      </c>
      <c r="I23" s="38" t="str">
        <f t="shared" ref="I23" si="8">IF(F23="NULL",CONCATENATE(F23,", "),CONCATENATE("&amp;",F23,", "))</f>
        <v xml:space="preserve">NULL, </v>
      </c>
      <c r="J23" s="38" t="str">
        <f t="shared" ref="J23" si="9">IF(G23="NULL",CONCATENATE(G23,", "),CONCATENATE("&amp;",G23,", "))</f>
        <v xml:space="preserve">NULL, </v>
      </c>
      <c r="K23" s="34" t="str">
        <f t="shared" ref="K23" si="10">CONCATENATE("  {",H23,C23,", ",I23,J23,D23,", ",E23,"},")</f>
        <v xml:space="preserve">  {"Upper DB", m_upper_db, NULL, NULL, -1, -1},</v>
      </c>
    </row>
    <row r="24" spans="1:11" x14ac:dyDescent="0.25">
      <c r="A24" s="66">
        <f t="shared" si="1"/>
        <v>22</v>
      </c>
      <c r="B24" s="28" t="s">
        <v>32</v>
      </c>
      <c r="C24" s="49" t="s">
        <v>107</v>
      </c>
      <c r="D24" s="11">
        <v>0</v>
      </c>
      <c r="E24" s="11">
        <v>127</v>
      </c>
      <c r="F24" s="24" t="s">
        <v>85</v>
      </c>
      <c r="G24" s="24" t="s">
        <v>57</v>
      </c>
      <c r="H24" s="37" t="str">
        <f t="shared" si="2"/>
        <v xml:space="preserve">"Lower DB 16", </v>
      </c>
      <c r="I24" s="38" t="str">
        <f t="shared" si="3"/>
        <v xml:space="preserve">&amp;drawbars.lower[0], </v>
      </c>
      <c r="J24" s="38" t="str">
        <f t="shared" si="4"/>
        <v xml:space="preserve">&amp;fpga_send_lower_db, </v>
      </c>
      <c r="K24" s="34" t="str">
        <f t="shared" si="6"/>
        <v xml:space="preserve">  {"Lower DB 16", m_lower_db, &amp;drawbars.lower[0], &amp;fpga_send_lower_db, 0, 127},</v>
      </c>
    </row>
    <row r="25" spans="1:11" x14ac:dyDescent="0.25">
      <c r="A25" s="66">
        <f t="shared" si="1"/>
        <v>23</v>
      </c>
      <c r="B25" s="26" t="s">
        <v>33</v>
      </c>
      <c r="C25" s="49" t="s">
        <v>107</v>
      </c>
      <c r="D25" s="11">
        <v>0</v>
      </c>
      <c r="E25" s="11">
        <v>127</v>
      </c>
      <c r="F25" s="24" t="s">
        <v>86</v>
      </c>
      <c r="G25" s="24" t="s">
        <v>57</v>
      </c>
      <c r="H25" s="37" t="str">
        <f t="shared" si="2"/>
        <v xml:space="preserve">"Lower DB 5 1/3", </v>
      </c>
      <c r="I25" s="38" t="str">
        <f t="shared" si="3"/>
        <v xml:space="preserve">&amp;drawbars.lower[1], </v>
      </c>
      <c r="J25" s="38" t="str">
        <f t="shared" si="4"/>
        <v xml:space="preserve">&amp;fpga_send_lower_db, </v>
      </c>
      <c r="K25" s="34" t="str">
        <f t="shared" si="6"/>
        <v xml:space="preserve">  {"Lower DB 5 1/3", m_lower_db, &amp;drawbars.lower[1], &amp;fpga_send_lower_db, 0, 127},</v>
      </c>
    </row>
    <row r="26" spans="1:11" x14ac:dyDescent="0.25">
      <c r="A26" s="66">
        <f t="shared" si="1"/>
        <v>24</v>
      </c>
      <c r="B26" s="26" t="s">
        <v>34</v>
      </c>
      <c r="C26" s="49" t="s">
        <v>107</v>
      </c>
      <c r="D26" s="11">
        <v>0</v>
      </c>
      <c r="E26" s="11">
        <v>127</v>
      </c>
      <c r="F26" s="24" t="s">
        <v>87</v>
      </c>
      <c r="G26" s="24" t="s">
        <v>57</v>
      </c>
      <c r="H26" s="37" t="str">
        <f t="shared" si="2"/>
        <v xml:space="preserve">"Lower DB 8", </v>
      </c>
      <c r="I26" s="38" t="str">
        <f t="shared" si="3"/>
        <v xml:space="preserve">&amp;drawbars.lower[2], </v>
      </c>
      <c r="J26" s="38" t="str">
        <f t="shared" si="4"/>
        <v xml:space="preserve">&amp;fpga_send_lower_db, </v>
      </c>
      <c r="K26" s="34" t="str">
        <f t="shared" si="6"/>
        <v xml:space="preserve">  {"Lower DB 8", m_lower_db, &amp;drawbars.lower[2], &amp;fpga_send_lower_db, 0, 127},</v>
      </c>
    </row>
    <row r="27" spans="1:11" x14ac:dyDescent="0.25">
      <c r="A27" s="66">
        <f t="shared" si="1"/>
        <v>25</v>
      </c>
      <c r="B27" s="26" t="s">
        <v>35</v>
      </c>
      <c r="C27" s="49" t="s">
        <v>107</v>
      </c>
      <c r="D27" s="11">
        <v>0</v>
      </c>
      <c r="E27" s="11">
        <v>127</v>
      </c>
      <c r="F27" s="24" t="s">
        <v>88</v>
      </c>
      <c r="G27" s="24" t="s">
        <v>57</v>
      </c>
      <c r="H27" s="37" t="str">
        <f t="shared" si="2"/>
        <v xml:space="preserve">"Lower DB 4", </v>
      </c>
      <c r="I27" s="38" t="str">
        <f t="shared" si="3"/>
        <v xml:space="preserve">&amp;drawbars.lower[3], </v>
      </c>
      <c r="J27" s="38" t="str">
        <f t="shared" si="4"/>
        <v xml:space="preserve">&amp;fpga_send_lower_db, </v>
      </c>
      <c r="K27" s="34" t="str">
        <f t="shared" si="6"/>
        <v xml:space="preserve">  {"Lower DB 4", m_lower_db, &amp;drawbars.lower[3], &amp;fpga_send_lower_db, 0, 127},</v>
      </c>
    </row>
    <row r="28" spans="1:11" x14ac:dyDescent="0.25">
      <c r="A28" s="66">
        <f t="shared" si="1"/>
        <v>26</v>
      </c>
      <c r="B28" s="26" t="s">
        <v>36</v>
      </c>
      <c r="C28" s="49" t="s">
        <v>107</v>
      </c>
      <c r="D28" s="11">
        <v>0</v>
      </c>
      <c r="E28" s="11">
        <v>127</v>
      </c>
      <c r="F28" s="24" t="s">
        <v>89</v>
      </c>
      <c r="G28" s="24" t="s">
        <v>57</v>
      </c>
      <c r="H28" s="37" t="str">
        <f t="shared" si="2"/>
        <v xml:space="preserve">"Lower DB 2 2/3", </v>
      </c>
      <c r="I28" s="38" t="str">
        <f t="shared" si="3"/>
        <v xml:space="preserve">&amp;drawbars.lower[4], </v>
      </c>
      <c r="J28" s="38" t="str">
        <f t="shared" si="4"/>
        <v xml:space="preserve">&amp;fpga_send_lower_db, </v>
      </c>
      <c r="K28" s="34" t="str">
        <f t="shared" si="6"/>
        <v xml:space="preserve">  {"Lower DB 2 2/3", m_lower_db, &amp;drawbars.lower[4], &amp;fpga_send_lower_db, 0, 127},</v>
      </c>
    </row>
    <row r="29" spans="1:11" x14ac:dyDescent="0.25">
      <c r="A29" s="66">
        <f t="shared" si="1"/>
        <v>27</v>
      </c>
      <c r="B29" s="26" t="s">
        <v>37</v>
      </c>
      <c r="C29" s="49" t="s">
        <v>107</v>
      </c>
      <c r="D29" s="11">
        <v>0</v>
      </c>
      <c r="E29" s="11">
        <v>127</v>
      </c>
      <c r="F29" s="24" t="s">
        <v>90</v>
      </c>
      <c r="G29" s="24" t="s">
        <v>57</v>
      </c>
      <c r="H29" s="37" t="str">
        <f t="shared" si="2"/>
        <v xml:space="preserve">"Lower DB 2", </v>
      </c>
      <c r="I29" s="38" t="str">
        <f t="shared" si="3"/>
        <v xml:space="preserve">&amp;drawbars.lower[5], </v>
      </c>
      <c r="J29" s="38" t="str">
        <f t="shared" si="4"/>
        <v xml:space="preserve">&amp;fpga_send_lower_db, </v>
      </c>
      <c r="K29" s="34" t="str">
        <f t="shared" si="6"/>
        <v xml:space="preserve">  {"Lower DB 2", m_lower_db, &amp;drawbars.lower[5], &amp;fpga_send_lower_db, 0, 127},</v>
      </c>
    </row>
    <row r="30" spans="1:11" x14ac:dyDescent="0.25">
      <c r="A30" s="66">
        <f t="shared" si="1"/>
        <v>28</v>
      </c>
      <c r="B30" s="26" t="s">
        <v>38</v>
      </c>
      <c r="C30" s="49" t="s">
        <v>107</v>
      </c>
      <c r="D30" s="11">
        <v>0</v>
      </c>
      <c r="E30" s="11">
        <v>127</v>
      </c>
      <c r="F30" s="24" t="s">
        <v>91</v>
      </c>
      <c r="G30" s="24" t="s">
        <v>57</v>
      </c>
      <c r="H30" s="37" t="str">
        <f t="shared" si="2"/>
        <v xml:space="preserve">"Lower DB 1 3/5", </v>
      </c>
      <c r="I30" s="38" t="str">
        <f t="shared" si="3"/>
        <v xml:space="preserve">&amp;drawbars.lower[6], </v>
      </c>
      <c r="J30" s="38" t="str">
        <f t="shared" si="4"/>
        <v xml:space="preserve">&amp;fpga_send_lower_db, </v>
      </c>
      <c r="K30" s="34" t="str">
        <f t="shared" si="6"/>
        <v xml:space="preserve">  {"Lower DB 1 3/5", m_lower_db, &amp;drawbars.lower[6], &amp;fpga_send_lower_db, 0, 127},</v>
      </c>
    </row>
    <row r="31" spans="1:11" x14ac:dyDescent="0.25">
      <c r="A31" s="66">
        <f t="shared" si="1"/>
        <v>29</v>
      </c>
      <c r="B31" s="26" t="s">
        <v>39</v>
      </c>
      <c r="C31" s="49" t="s">
        <v>107</v>
      </c>
      <c r="D31" s="11">
        <v>0</v>
      </c>
      <c r="E31" s="11">
        <v>127</v>
      </c>
      <c r="F31" s="24" t="s">
        <v>92</v>
      </c>
      <c r="G31" s="24" t="s">
        <v>57</v>
      </c>
      <c r="H31" s="37" t="str">
        <f t="shared" si="2"/>
        <v xml:space="preserve">"Lower DB 1 1/3", </v>
      </c>
      <c r="I31" s="38" t="str">
        <f t="shared" si="3"/>
        <v xml:space="preserve">&amp;drawbars.lower[7], </v>
      </c>
      <c r="J31" s="38" t="str">
        <f t="shared" si="4"/>
        <v xml:space="preserve">&amp;fpga_send_lower_db, </v>
      </c>
      <c r="K31" s="34" t="str">
        <f t="shared" si="6"/>
        <v xml:space="preserve">  {"Lower DB 1 1/3", m_lower_db, &amp;drawbars.lower[7], &amp;fpga_send_lower_db, 0, 127},</v>
      </c>
    </row>
    <row r="32" spans="1:11" x14ac:dyDescent="0.25">
      <c r="A32" s="66">
        <f t="shared" si="1"/>
        <v>30</v>
      </c>
      <c r="B32" s="26" t="s">
        <v>40</v>
      </c>
      <c r="C32" s="49" t="s">
        <v>107</v>
      </c>
      <c r="D32" s="11">
        <v>0</v>
      </c>
      <c r="E32" s="11">
        <v>127</v>
      </c>
      <c r="F32" s="24" t="s">
        <v>93</v>
      </c>
      <c r="G32" s="24" t="s">
        <v>57</v>
      </c>
      <c r="H32" s="37" t="str">
        <f>CONCATENATE("""",B32,""", ")</f>
        <v xml:space="preserve">"Lower DB 1", </v>
      </c>
      <c r="I32" s="38" t="str">
        <f>IF(F32="NULL",CONCATENATE(F32,", "),CONCATENATE("&amp;",F32,", "))</f>
        <v xml:space="preserve">&amp;drawbars.lower[8], </v>
      </c>
      <c r="J32" s="38" t="str">
        <f>IF(G32="NULL",CONCATENATE(G32,", "),CONCATENATE("&amp;",G32,", "))</f>
        <v xml:space="preserve">&amp;fpga_send_lower_db, </v>
      </c>
      <c r="K32" s="34" t="str">
        <f>CONCATENATE("  {",H32,C32,", ",I32,J32,D32,", ",E32,"},")</f>
        <v xml:space="preserve">  {"Lower DB 1", m_lower_db, &amp;drawbars.lower[8], &amp;fpga_send_lower_db, 0, 127},</v>
      </c>
    </row>
    <row r="33" spans="1:11" x14ac:dyDescent="0.25">
      <c r="A33" s="66">
        <f t="shared" si="1"/>
        <v>31</v>
      </c>
      <c r="B33" s="56" t="s">
        <v>45</v>
      </c>
      <c r="C33" s="55" t="s">
        <v>107</v>
      </c>
      <c r="D33" s="22">
        <v>-1</v>
      </c>
      <c r="E33" s="22">
        <v>-1</v>
      </c>
      <c r="F33" s="24" t="s">
        <v>54</v>
      </c>
      <c r="G33" s="24" t="s">
        <v>54</v>
      </c>
      <c r="H33" s="37" t="str">
        <f>CONCATENATE("""",B33,""", ")</f>
        <v xml:space="preserve">"Lower DB", </v>
      </c>
      <c r="I33" s="38" t="str">
        <f>IF(F33="NULL",CONCATENATE(F33,", "),CONCATENATE("&amp;",F33,", "))</f>
        <v xml:space="preserve">NULL, </v>
      </c>
      <c r="J33" s="38" t="str">
        <f>IF(G33="NULL",CONCATENATE(G33,", "),CONCATENATE("&amp;",G33,", "))</f>
        <v xml:space="preserve">NULL, </v>
      </c>
      <c r="K33" s="34" t="str">
        <f>CONCATENATE("  {",H33,C33,", ",I33,J33,D33,", ",E33,"},")</f>
        <v xml:space="preserve">  {"Lower DB", m_lower_db, NULL, NULL, -1, -1},</v>
      </c>
    </row>
    <row r="34" spans="1:11" x14ac:dyDescent="0.25">
      <c r="A34" s="66">
        <f t="shared" si="1"/>
        <v>32</v>
      </c>
      <c r="B34" s="29" t="s">
        <v>41</v>
      </c>
      <c r="C34" s="49" t="s">
        <v>108</v>
      </c>
      <c r="D34" s="11">
        <v>0</v>
      </c>
      <c r="E34" s="11">
        <v>127</v>
      </c>
      <c r="F34" s="24" t="s">
        <v>94</v>
      </c>
      <c r="G34" s="24" t="s">
        <v>54</v>
      </c>
      <c r="H34" s="37" t="str">
        <f t="shared" si="2"/>
        <v xml:space="preserve">"Pedal DB 16", </v>
      </c>
      <c r="I34" s="38" t="str">
        <f t="shared" si="3"/>
        <v xml:space="preserve">&amp;drawbars.pedal[0], </v>
      </c>
      <c r="J34" s="38" t="str">
        <f t="shared" si="4"/>
        <v xml:space="preserve">NULL, </v>
      </c>
      <c r="K34" s="34" t="str">
        <f t="shared" si="6"/>
        <v xml:space="preserve">  {"Pedal DB 16", m_pedal_db, &amp;drawbars.pedal[0], NULL, 0, 127},</v>
      </c>
    </row>
    <row r="35" spans="1:11" x14ac:dyDescent="0.25">
      <c r="A35" s="66">
        <f t="shared" si="1"/>
        <v>33</v>
      </c>
      <c r="B35" s="27" t="s">
        <v>42</v>
      </c>
      <c r="C35" s="49" t="s">
        <v>108</v>
      </c>
      <c r="D35" s="11">
        <v>0</v>
      </c>
      <c r="E35" s="11">
        <v>127</v>
      </c>
      <c r="F35" s="24" t="s">
        <v>95</v>
      </c>
      <c r="G35" s="24" t="s">
        <v>54</v>
      </c>
      <c r="H35" s="37" t="str">
        <f t="shared" si="2"/>
        <v xml:space="preserve">"Pedal DB 8", </v>
      </c>
      <c r="I35" s="38" t="str">
        <f t="shared" si="3"/>
        <v xml:space="preserve">&amp;drawbars.pedal[1], </v>
      </c>
      <c r="J35" s="38" t="str">
        <f t="shared" si="4"/>
        <v xml:space="preserve">NULL, </v>
      </c>
      <c r="K35" s="34" t="str">
        <f t="shared" si="6"/>
        <v xml:space="preserve">  {"Pedal DB 8", m_pedal_db, &amp;drawbars.pedal[1], NULL, 0, 127},</v>
      </c>
    </row>
    <row r="36" spans="1:11" x14ac:dyDescent="0.25">
      <c r="A36" s="66">
        <f t="shared" si="1"/>
        <v>34</v>
      </c>
      <c r="B36" s="57" t="s">
        <v>46</v>
      </c>
      <c r="C36" s="55" t="s">
        <v>108</v>
      </c>
      <c r="D36" s="22">
        <v>-1</v>
      </c>
      <c r="E36" s="22">
        <v>-1</v>
      </c>
      <c r="F36" s="24" t="s">
        <v>54</v>
      </c>
      <c r="G36" s="24" t="s">
        <v>54</v>
      </c>
      <c r="H36" s="37" t="str">
        <f t="shared" ref="H36" si="11">CONCATENATE("""",B36,""", ")</f>
        <v xml:space="preserve">"Pedal DB", </v>
      </c>
      <c r="I36" s="38" t="str">
        <f t="shared" ref="I36" si="12">IF(F36="NULL",CONCATENATE(F36,", "),CONCATENATE("&amp;",F36,", "))</f>
        <v xml:space="preserve">NULL, </v>
      </c>
      <c r="J36" s="38" t="str">
        <f t="shared" ref="J36" si="13">IF(G36="NULL",CONCATENATE(G36,", "),CONCATENATE("&amp;",G36,", "))</f>
        <v xml:space="preserve">NULL, </v>
      </c>
      <c r="K36" s="34" t="str">
        <f t="shared" ref="K36" si="14">CONCATENATE("  {",H36,C36,", ",I36,J36,D36,", ",E36,"},")</f>
        <v xml:space="preserve">  {"Pedal DB", m_pedal_db, NULL, NULL, -1, -1},</v>
      </c>
    </row>
    <row r="37" spans="1:11" x14ac:dyDescent="0.25">
      <c r="A37" s="66">
        <f t="shared" si="1"/>
        <v>35</v>
      </c>
      <c r="B37" s="41" t="s">
        <v>63</v>
      </c>
      <c r="C37" s="49" t="s">
        <v>109</v>
      </c>
      <c r="D37" s="63">
        <v>0</v>
      </c>
      <c r="E37" s="63">
        <v>0</v>
      </c>
      <c r="F37" s="24" t="s">
        <v>54</v>
      </c>
      <c r="G37" s="24" t="s">
        <v>64</v>
      </c>
      <c r="H37" s="37" t="str">
        <f t="shared" si="2"/>
        <v xml:space="preserve">"SD Card Info", </v>
      </c>
      <c r="I37" s="38" t="str">
        <f t="shared" si="3"/>
        <v xml:space="preserve">NULL, </v>
      </c>
      <c r="J37" s="38" t="str">
        <f t="shared" si="4"/>
        <v xml:space="preserve">&amp;sdCardInfo, </v>
      </c>
      <c r="K37" s="34" t="str">
        <f t="shared" si="6"/>
        <v xml:space="preserve">  {"SD Card Info", m_sd_card, NULL, &amp;sdCardInfo, 0, 0},</v>
      </c>
    </row>
    <row r="38" spans="1:11" x14ac:dyDescent="0.25">
      <c r="A38" s="66">
        <f t="shared" si="1"/>
        <v>36</v>
      </c>
      <c r="B38" s="41" t="s">
        <v>47</v>
      </c>
      <c r="C38" s="49" t="s">
        <v>109</v>
      </c>
      <c r="D38" s="63">
        <v>0</v>
      </c>
      <c r="E38" s="63">
        <v>0</v>
      </c>
      <c r="F38" s="24" t="s">
        <v>54</v>
      </c>
      <c r="G38" s="24" t="s">
        <v>58</v>
      </c>
      <c r="H38" s="37" t="str">
        <f t="shared" si="2"/>
        <v xml:space="preserve">"Load SD Scan", </v>
      </c>
      <c r="I38" s="38" t="str">
        <f t="shared" si="3"/>
        <v xml:space="preserve">NULL, </v>
      </c>
      <c r="J38" s="38" t="str">
        <f t="shared" si="4"/>
        <v xml:space="preserve">&amp;loadScanDriver, </v>
      </c>
      <c r="K38" s="34" t="str">
        <f t="shared" si="6"/>
        <v xml:space="preserve">  {"Load SD Scan", m_sd_card, NULL, &amp;loadScanDriver, 0, 0},</v>
      </c>
    </row>
    <row r="39" spans="1:11" x14ac:dyDescent="0.25">
      <c r="A39" s="66">
        <f t="shared" si="1"/>
        <v>37</v>
      </c>
      <c r="B39" s="41" t="s">
        <v>48</v>
      </c>
      <c r="C39" s="49" t="s">
        <v>109</v>
      </c>
      <c r="D39" s="63">
        <v>0</v>
      </c>
      <c r="E39" s="63">
        <v>0</v>
      </c>
      <c r="F39" s="24" t="s">
        <v>54</v>
      </c>
      <c r="G39" s="32" t="s">
        <v>59</v>
      </c>
      <c r="H39" s="37" t="str">
        <f t="shared" si="2"/>
        <v xml:space="preserve">"Flash SD Scan", </v>
      </c>
      <c r="I39" s="38" t="str">
        <f t="shared" si="3"/>
        <v xml:space="preserve">NULL, </v>
      </c>
      <c r="J39" s="38" t="str">
        <f t="shared" si="4"/>
        <v xml:space="preserve">&amp;flashScanDriver, </v>
      </c>
      <c r="K39" s="34" t="str">
        <f t="shared" si="6"/>
        <v xml:space="preserve">  {"Flash SD Scan", m_sd_card, NULL, &amp;flashScanDriver, 0, 0},</v>
      </c>
    </row>
    <row r="40" spans="1:11" x14ac:dyDescent="0.25">
      <c r="A40" s="66">
        <f t="shared" si="1"/>
        <v>38</v>
      </c>
      <c r="B40" s="41" t="s">
        <v>49</v>
      </c>
      <c r="C40" s="49" t="s">
        <v>109</v>
      </c>
      <c r="D40" s="63">
        <v>0</v>
      </c>
      <c r="E40" s="63">
        <v>0</v>
      </c>
      <c r="F40" s="24" t="s">
        <v>54</v>
      </c>
      <c r="G40" s="32" t="s">
        <v>60</v>
      </c>
      <c r="H40" s="37" t="str">
        <f t="shared" si="2"/>
        <v xml:space="preserve">"Flash FPGA", </v>
      </c>
      <c r="I40" s="38" t="str">
        <f t="shared" si="3"/>
        <v xml:space="preserve">NULL, </v>
      </c>
      <c r="J40" s="38" t="str">
        <f t="shared" si="4"/>
        <v xml:space="preserve">&amp;flashFPGA, </v>
      </c>
      <c r="K40" s="34" t="str">
        <f t="shared" si="6"/>
        <v xml:space="preserve">  {"Flash FPGA", m_sd_card, NULL, &amp;flashFPGA, 0, 0},</v>
      </c>
    </row>
    <row r="41" spans="1:11" x14ac:dyDescent="0.25">
      <c r="A41" s="66">
        <f t="shared" si="1"/>
        <v>39</v>
      </c>
      <c r="B41" s="41" t="s">
        <v>52</v>
      </c>
      <c r="C41" s="49" t="s">
        <v>109</v>
      </c>
      <c r="D41" s="63">
        <v>0</v>
      </c>
      <c r="E41" s="63">
        <v>0</v>
      </c>
      <c r="F41" s="24" t="s">
        <v>54</v>
      </c>
      <c r="G41" s="32" t="s">
        <v>61</v>
      </c>
      <c r="H41" s="37" t="str">
        <f t="shared" si="2"/>
        <v xml:space="preserve">"Flash Other", </v>
      </c>
      <c r="I41" s="38" t="str">
        <f t="shared" si="3"/>
        <v xml:space="preserve">NULL, </v>
      </c>
      <c r="J41" s="38" t="str">
        <f t="shared" si="4"/>
        <v xml:space="preserve">&amp;flashOther, </v>
      </c>
      <c r="K41" s="34" t="str">
        <f t="shared" si="6"/>
        <v xml:space="preserve">  {"Flash Other", m_sd_card, NULL, &amp;flashOther, 0, 0},</v>
      </c>
    </row>
    <row r="42" spans="1:11" x14ac:dyDescent="0.25">
      <c r="A42" s="66">
        <f t="shared" si="1"/>
        <v>40</v>
      </c>
      <c r="B42" s="41" t="s">
        <v>50</v>
      </c>
      <c r="C42" s="49" t="s">
        <v>109</v>
      </c>
      <c r="D42" s="63">
        <v>0</v>
      </c>
      <c r="E42" s="63">
        <v>0</v>
      </c>
      <c r="F42" s="24" t="s">
        <v>54</v>
      </c>
      <c r="G42" s="24" t="s">
        <v>62</v>
      </c>
      <c r="H42" s="37" t="str">
        <f t="shared" si="2"/>
        <v xml:space="preserve">"Reload FPGA", </v>
      </c>
      <c r="I42" s="38" t="str">
        <f t="shared" si="3"/>
        <v xml:space="preserve">NULL, </v>
      </c>
      <c r="J42" s="38" t="str">
        <f t="shared" si="4"/>
        <v xml:space="preserve">&amp;organReset, </v>
      </c>
      <c r="K42" s="34" t="str">
        <f t="shared" si="6"/>
        <v xml:space="preserve">  {"Reload FPGA", m_sd_card, NULL, &amp;organReset, 0, 0},</v>
      </c>
    </row>
    <row r="43" spans="1:11" x14ac:dyDescent="0.25">
      <c r="A43" s="66">
        <f t="shared" si="1"/>
        <v>41</v>
      </c>
      <c r="B43" s="41" t="s">
        <v>51</v>
      </c>
      <c r="C43" s="49" t="s">
        <v>109</v>
      </c>
      <c r="D43" s="63">
        <v>0</v>
      </c>
      <c r="E43" s="63">
        <v>0</v>
      </c>
      <c r="F43" s="24" t="s">
        <v>54</v>
      </c>
      <c r="G43" s="24" t="s">
        <v>54</v>
      </c>
      <c r="H43" s="37" t="str">
        <f t="shared" si="2"/>
        <v xml:space="preserve">"Test", </v>
      </c>
      <c r="I43" s="38" t="str">
        <f t="shared" si="3"/>
        <v xml:space="preserve">NULL, </v>
      </c>
      <c r="J43" s="38" t="str">
        <f t="shared" si="4"/>
        <v xml:space="preserve">NULL, </v>
      </c>
      <c r="K43" s="34" t="str">
        <f t="shared" si="6"/>
        <v xml:space="preserve">  {"Test", m_sd_card, NULL, NULL, 0, 0},</v>
      </c>
    </row>
    <row r="44" spans="1:11" x14ac:dyDescent="0.25">
      <c r="A44" s="66">
        <f t="shared" si="1"/>
        <v>42</v>
      </c>
      <c r="B44" s="54" t="s">
        <v>63</v>
      </c>
      <c r="C44" s="55" t="s">
        <v>109</v>
      </c>
      <c r="D44" s="22">
        <v>-1</v>
      </c>
      <c r="E44" s="22">
        <v>-1</v>
      </c>
      <c r="F44" s="24" t="s">
        <v>54</v>
      </c>
      <c r="G44" s="24" t="s">
        <v>54</v>
      </c>
      <c r="H44" s="37" t="str">
        <f t="shared" ref="H44" si="15">CONCATENATE("""",B44,""", ")</f>
        <v xml:space="preserve">"SD Card Info", </v>
      </c>
      <c r="I44" s="38" t="str">
        <f t="shared" ref="I44" si="16">IF(F44="NULL",CONCATENATE(F44,", "),CONCATENATE("&amp;",F44,", "))</f>
        <v xml:space="preserve">NULL, </v>
      </c>
      <c r="J44" s="38" t="str">
        <f t="shared" ref="J44" si="17">IF(G44="NULL",CONCATENATE(G44,", "),CONCATENATE("&amp;",G44,", "))</f>
        <v xml:space="preserve">NULL, </v>
      </c>
      <c r="K44" s="34" t="str">
        <f t="shared" ref="K44" si="18">CONCATENATE("  {",H44,C44,", ",I44,J44,D44,", ",E44,"},")</f>
        <v xml:space="preserve">  {"SD Card Info", m_sd_card, NULL, NULL, -1, -1},</v>
      </c>
    </row>
    <row r="45" spans="1:11" x14ac:dyDescent="0.25">
      <c r="A45" s="66">
        <f t="shared" si="1"/>
        <v>43</v>
      </c>
      <c r="B45" s="39" t="s">
        <v>1</v>
      </c>
      <c r="C45" s="49" t="s">
        <v>69</v>
      </c>
      <c r="D45" s="12">
        <v>0</v>
      </c>
      <c r="E45" s="53" t="s">
        <v>13</v>
      </c>
      <c r="F45" s="24" t="s">
        <v>96</v>
      </c>
      <c r="G45" s="24" t="s">
        <v>54</v>
      </c>
      <c r="H45" s="37" t="str">
        <f t="shared" si="2"/>
        <v xml:space="preserve">"Kbd Driver", </v>
      </c>
      <c r="I45" s="38" t="str">
        <f t="shared" si="3"/>
        <v xml:space="preserve">&amp;boardInfo.scan_driverIdx, </v>
      </c>
      <c r="J45" s="38" t="str">
        <f t="shared" si="4"/>
        <v xml:space="preserve">NULL, </v>
      </c>
      <c r="K45" s="34" t="str">
        <f t="shared" si="6"/>
        <v xml:space="preserve">  {"Kbd Driver", m_kbd_driver, &amp;boardInfo.scan_driverIdx, NULL, 0, drv_custom},</v>
      </c>
    </row>
    <row r="46" spans="1:11" x14ac:dyDescent="0.25">
      <c r="A46" s="66">
        <f t="shared" si="1"/>
        <v>44</v>
      </c>
      <c r="B46" s="40" t="s">
        <v>2</v>
      </c>
      <c r="C46" s="49" t="s">
        <v>69</v>
      </c>
      <c r="D46" s="12">
        <v>1</v>
      </c>
      <c r="E46" s="12">
        <v>40</v>
      </c>
      <c r="F46" s="24" t="s">
        <v>54</v>
      </c>
      <c r="G46" s="24" t="s">
        <v>54</v>
      </c>
      <c r="H46" s="37" t="str">
        <f t="shared" si="2"/>
        <v xml:space="preserve">"Velocity Min", </v>
      </c>
      <c r="I46" s="38" t="str">
        <f t="shared" si="3"/>
        <v xml:space="preserve">NULL, </v>
      </c>
      <c r="J46" s="38" t="str">
        <f t="shared" si="4"/>
        <v xml:space="preserve">NULL, </v>
      </c>
      <c r="K46" s="34" t="str">
        <f t="shared" si="6"/>
        <v xml:space="preserve">  {"Velocity Min", m_kbd_driver, NULL, NULL, 1, 40},</v>
      </c>
    </row>
    <row r="47" spans="1:11" x14ac:dyDescent="0.25">
      <c r="A47" s="66">
        <f t="shared" si="1"/>
        <v>45</v>
      </c>
      <c r="B47" s="40" t="s">
        <v>15</v>
      </c>
      <c r="C47" s="49" t="s">
        <v>69</v>
      </c>
      <c r="D47" s="12">
        <v>1</v>
      </c>
      <c r="E47" s="12">
        <v>40</v>
      </c>
      <c r="F47" s="24" t="s">
        <v>54</v>
      </c>
      <c r="G47" s="24" t="s">
        <v>54</v>
      </c>
      <c r="H47" s="37" t="str">
        <f t="shared" si="2"/>
        <v xml:space="preserve">"Velocity MaxAdj", </v>
      </c>
      <c r="I47" s="38" t="str">
        <f t="shared" si="3"/>
        <v xml:space="preserve">NULL, </v>
      </c>
      <c r="J47" s="38" t="str">
        <f t="shared" si="4"/>
        <v xml:space="preserve">NULL, </v>
      </c>
      <c r="K47" s="34" t="str">
        <f t="shared" si="6"/>
        <v xml:space="preserve">  {"Velocity MaxAdj", m_kbd_driver, NULL, NULL, 1, 40},</v>
      </c>
    </row>
    <row r="48" spans="1:11" s="22" customFormat="1" x14ac:dyDescent="0.25">
      <c r="A48" s="66">
        <f t="shared" si="1"/>
        <v>46</v>
      </c>
      <c r="B48" s="40" t="s">
        <v>3</v>
      </c>
      <c r="C48" s="49" t="s">
        <v>69</v>
      </c>
      <c r="D48" s="12">
        <v>1</v>
      </c>
      <c r="E48" s="12">
        <v>30</v>
      </c>
      <c r="F48" s="24" t="s">
        <v>97</v>
      </c>
      <c r="G48" s="24" t="s">
        <v>54</v>
      </c>
      <c r="H48" s="37" t="str">
        <f t="shared" si="2"/>
        <v xml:space="preserve">"Velocity Slope", </v>
      </c>
      <c r="I48" s="38" t="str">
        <f t="shared" si="3"/>
        <v xml:space="preserve">&amp;organModel.fatarVelocityFac, </v>
      </c>
      <c r="J48" s="38" t="str">
        <f t="shared" si="4"/>
        <v xml:space="preserve">NULL, </v>
      </c>
      <c r="K48" s="34" t="str">
        <f t="shared" si="6"/>
        <v xml:space="preserve">  {"Velocity Slope", m_kbd_driver, &amp;organModel.fatarVelocityFac, NULL, 1, 30},</v>
      </c>
    </row>
    <row r="49" spans="1:11" s="22" customFormat="1" x14ac:dyDescent="0.25">
      <c r="A49" s="66">
        <f t="shared" si="1"/>
        <v>47</v>
      </c>
      <c r="B49" s="40" t="s">
        <v>122</v>
      </c>
      <c r="C49" s="49" t="s">
        <v>69</v>
      </c>
      <c r="D49" s="12">
        <v>1</v>
      </c>
      <c r="E49" s="12">
        <v>15</v>
      </c>
      <c r="F49" s="24" t="s">
        <v>98</v>
      </c>
      <c r="G49" s="24" t="s">
        <v>54</v>
      </c>
      <c r="H49" s="37" t="str">
        <f t="shared" ref="H49" si="19">CONCATENATE("""",B49,""", ")</f>
        <v xml:space="preserve">"MIDI Channel", </v>
      </c>
      <c r="I49" s="38" t="str">
        <f t="shared" ref="I49" si="20">IF(F49="NULL",CONCATENATE(F49,", "),CONCATENATE("&amp;",F49,", "))</f>
        <v xml:space="preserve">&amp;midiSettings.channel, </v>
      </c>
      <c r="J49" s="38" t="str">
        <f t="shared" ref="J49" si="21">IF(G49="NULL",CONCATENATE(G49,", "),CONCATENATE("&amp;",G49,", "))</f>
        <v xml:space="preserve">NULL, </v>
      </c>
      <c r="K49" s="34" t="str">
        <f t="shared" ref="K49" si="22">CONCATENATE("  {",H49,C49,", ",I49,J49,D49,", ",E49,"},")</f>
        <v xml:space="preserve">  {"MIDI Channel", m_kbd_driver, &amp;midiSettings.channel, NULL, 1, 15},</v>
      </c>
    </row>
    <row r="50" spans="1:11" x14ac:dyDescent="0.25">
      <c r="A50" s="66">
        <f t="shared" si="1"/>
        <v>48</v>
      </c>
      <c r="B50" s="40" t="s">
        <v>4</v>
      </c>
      <c r="C50" s="49" t="s">
        <v>69</v>
      </c>
      <c r="D50" s="12">
        <v>12</v>
      </c>
      <c r="E50" s="12">
        <v>60</v>
      </c>
      <c r="F50" s="24" t="s">
        <v>54</v>
      </c>
      <c r="G50" s="24" t="s">
        <v>54</v>
      </c>
      <c r="H50" s="37" t="str">
        <f t="shared" si="2"/>
        <v xml:space="preserve">"Upper Base", </v>
      </c>
      <c r="I50" s="38" t="str">
        <f t="shared" si="3"/>
        <v xml:space="preserve">NULL, </v>
      </c>
      <c r="J50" s="38" t="str">
        <f t="shared" si="4"/>
        <v xml:space="preserve">NULL, </v>
      </c>
      <c r="K50" s="34" t="str">
        <f t="shared" si="6"/>
        <v xml:space="preserve">  {"Upper Base", m_kbd_driver, NULL, NULL, 12, 60},</v>
      </c>
    </row>
    <row r="51" spans="1:11" x14ac:dyDescent="0.25">
      <c r="A51" s="66">
        <f t="shared" si="1"/>
        <v>49</v>
      </c>
      <c r="B51" s="40" t="s">
        <v>5</v>
      </c>
      <c r="C51" s="49" t="s">
        <v>69</v>
      </c>
      <c r="D51" s="12">
        <v>12</v>
      </c>
      <c r="E51" s="12">
        <v>60</v>
      </c>
      <c r="F51" s="24" t="s">
        <v>54</v>
      </c>
      <c r="G51" s="24" t="s">
        <v>54</v>
      </c>
      <c r="H51" s="37" t="str">
        <f t="shared" si="2"/>
        <v xml:space="preserve">"Lower Base", </v>
      </c>
      <c r="I51" s="38" t="str">
        <f t="shared" si="3"/>
        <v xml:space="preserve">NULL, </v>
      </c>
      <c r="J51" s="38" t="str">
        <f t="shared" si="4"/>
        <v xml:space="preserve">NULL, </v>
      </c>
      <c r="K51" s="34" t="str">
        <f t="shared" si="6"/>
        <v xml:space="preserve">  {"Lower Base", m_kbd_driver, NULL, NULL, 12, 60},</v>
      </c>
    </row>
    <row r="52" spans="1:11" x14ac:dyDescent="0.25">
      <c r="A52" s="66">
        <f t="shared" si="1"/>
        <v>50</v>
      </c>
      <c r="B52" s="40" t="s">
        <v>6</v>
      </c>
      <c r="C52" s="49" t="s">
        <v>69</v>
      </c>
      <c r="D52" s="12">
        <v>12</v>
      </c>
      <c r="E52" s="12">
        <v>60</v>
      </c>
      <c r="F52" s="24" t="s">
        <v>54</v>
      </c>
      <c r="G52" s="24" t="s">
        <v>54</v>
      </c>
      <c r="H52" s="37" t="str">
        <f t="shared" si="2"/>
        <v xml:space="preserve">"Pedal Base", </v>
      </c>
      <c r="I52" s="38" t="str">
        <f t="shared" si="3"/>
        <v xml:space="preserve">NULL, </v>
      </c>
      <c r="J52" s="38" t="str">
        <f t="shared" si="4"/>
        <v xml:space="preserve">NULL, </v>
      </c>
      <c r="K52" s="34" t="str">
        <f t="shared" si="6"/>
        <v xml:space="preserve">  {"Pedal Base", m_kbd_driver, NULL, NULL, 12, 60},</v>
      </c>
    </row>
    <row r="53" spans="1:11" x14ac:dyDescent="0.25">
      <c r="A53" s="66">
        <f t="shared" si="1"/>
        <v>51</v>
      </c>
      <c r="B53" s="58" t="s">
        <v>1</v>
      </c>
      <c r="C53" s="55" t="s">
        <v>69</v>
      </c>
      <c r="D53" s="50">
        <v>-1</v>
      </c>
      <c r="E53" s="50">
        <v>-1</v>
      </c>
      <c r="F53" s="24" t="s">
        <v>54</v>
      </c>
      <c r="G53" s="24" t="s">
        <v>54</v>
      </c>
      <c r="H53" s="37" t="str">
        <f t="shared" ref="H53" si="23">CONCATENATE("""",B53,""", ")</f>
        <v xml:space="preserve">"Kbd Driver", </v>
      </c>
      <c r="I53" s="38" t="str">
        <f t="shared" ref="I53" si="24">IF(F53="NULL",CONCATENATE(F53,", "),CONCATENATE("&amp;",F53,", "))</f>
        <v xml:space="preserve">NULL, </v>
      </c>
      <c r="J53" s="38" t="str">
        <f t="shared" ref="J53" si="25">IF(G53="NULL",CONCATENATE(G53,", "),CONCATENATE("&amp;",G53,", "))</f>
        <v xml:space="preserve">NULL, </v>
      </c>
      <c r="K53" s="34" t="str">
        <f t="shared" ref="K53" si="26">CONCATENATE("  {",H53,C53,", ",I53,J53,D53,", ",E53,"},")</f>
        <v xml:space="preserve">  {"Kbd Driver", m_kbd_driver, NULL, NULL, -1, -1},</v>
      </c>
    </row>
    <row r="54" spans="1:11" s="10" customFormat="1" x14ac:dyDescent="0.25">
      <c r="A54" s="55">
        <f t="shared" si="1"/>
        <v>52</v>
      </c>
      <c r="E54" s="13"/>
      <c r="F54" s="14"/>
      <c r="G54" s="14"/>
      <c r="H54" s="13"/>
      <c r="I54" s="35"/>
      <c r="J54" s="35"/>
      <c r="K54" s="13" t="s">
        <v>8</v>
      </c>
    </row>
    <row r="55" spans="1:11" x14ac:dyDescent="0.25">
      <c r="A55" s="67" t="s">
        <v>121</v>
      </c>
      <c r="B55" s="15" t="s">
        <v>120</v>
      </c>
      <c r="C55" s="49" t="s">
        <v>119</v>
      </c>
      <c r="D55" s="55">
        <v>-1</v>
      </c>
      <c r="E55" s="55">
        <v>-1</v>
      </c>
      <c r="F55" s="14" t="s">
        <v>118</v>
      </c>
    </row>
    <row r="56" spans="1:11" x14ac:dyDescent="0.25">
      <c r="A56" s="67" t="s">
        <v>121</v>
      </c>
      <c r="B56" s="15" t="s">
        <v>120</v>
      </c>
      <c r="C56" s="49" t="s">
        <v>119</v>
      </c>
      <c r="D56" s="64">
        <v>0</v>
      </c>
      <c r="E56" s="64">
        <v>0</v>
      </c>
      <c r="F56" s="14" t="s">
        <v>117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" sqref="B3"/>
    </sheetView>
  </sheetViews>
  <sheetFormatPr baseColWidth="10" defaultRowHeight="15" x14ac:dyDescent="0.25"/>
  <cols>
    <col min="1" max="16384" width="11.42578125" style="72"/>
  </cols>
  <sheetData>
    <row r="1" spans="1:2" x14ac:dyDescent="0.25">
      <c r="A1" s="72" t="s">
        <v>166</v>
      </c>
      <c r="B1" s="73">
        <v>50000000</v>
      </c>
    </row>
    <row r="2" spans="1:2" x14ac:dyDescent="0.25">
      <c r="A2" s="72" t="s">
        <v>167</v>
      </c>
      <c r="B2" s="73">
        <v>115200</v>
      </c>
    </row>
    <row r="3" spans="1:2" x14ac:dyDescent="0.25">
      <c r="A3" s="72" t="s">
        <v>171</v>
      </c>
      <c r="B3" s="72">
        <f>B2*16</f>
        <v>1843200</v>
      </c>
    </row>
    <row r="4" spans="1:2" x14ac:dyDescent="0.25">
      <c r="A4" s="72" t="s">
        <v>168</v>
      </c>
      <c r="B4" s="75">
        <f>B1/B3-1</f>
        <v>26.126736111111111</v>
      </c>
    </row>
    <row r="5" spans="1:2" x14ac:dyDescent="0.25">
      <c r="A5" s="72" t="s">
        <v>169</v>
      </c>
      <c r="B5" s="74">
        <f>ROUND(B4,0)</f>
        <v>26</v>
      </c>
    </row>
    <row r="6" spans="1:2" x14ac:dyDescent="0.25">
      <c r="A6" s="72" t="s">
        <v>170</v>
      </c>
      <c r="B6" s="74" t="str">
        <f>DEC2HEX(B5)</f>
        <v>1A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FPGA Loader</vt:lpstr>
      <vt:lpstr>HX3 Framework</vt:lpstr>
      <vt:lpstr>Baudrate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Meyer</dc:creator>
  <cp:lastModifiedBy>Carsten</cp:lastModifiedBy>
  <dcterms:created xsi:type="dcterms:W3CDTF">2026-02-08T08:40:39Z</dcterms:created>
  <dcterms:modified xsi:type="dcterms:W3CDTF">2026-05-04T06:48:33Z</dcterms:modified>
</cp:coreProperties>
</file>